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'10_ENV_INTEGRATIONS'!$A$3:$E$14</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8</v>
      </c>
    </row>
    <row r="7">
      <c r="A7" s="4" t="inlineStr">
        <is>
          <t>Done</t>
        </is>
      </c>
      <c r="B7" s="8">
        <f>COUNTIF('07_ROADMAP'!E4:E100,"Done")</f>
        <v>8</v>
      </c>
      <c r="C7" s="2" t="n"/>
      <c r="D7" s="4" t="inlineStr">
        <is>
          <t>In Progress</t>
        </is>
      </c>
      <c r="E7" s="8">
        <f>B8</f>
        <v>8</v>
      </c>
    </row>
    <row r="8">
      <c r="A8" s="4" t="inlineStr">
        <is>
          <t>In Progress</t>
        </is>
      </c>
      <c r="B8" s="8">
        <f>COUNTIF('07_ROADMAP'!E4:E100,"In Progress")</f>
        <v>8</v>
      </c>
      <c r="C8" s="2" t="n"/>
      <c r="D8" s="4" t="inlineStr">
        <is>
          <t>Blocked</t>
        </is>
      </c>
      <c r="E8" s="8">
        <f>B9</f>
        <v>0</v>
      </c>
    </row>
    <row r="9">
      <c r="A9" s="4" t="inlineStr">
        <is>
          <t>Blocked</t>
        </is>
      </c>
      <c r="B9" s="8">
        <f>COUNTIF('07_ROADMAP'!E4:E100,"Blocked")</f>
        <v>0</v>
      </c>
      <c r="C9" s="2" t="n"/>
      <c r="D9" s="4" t="inlineStr">
        <is>
          <t>Not Started</t>
        </is>
      </c>
      <c r="E9" s="8">
        <f>B6-B7-B8-B9</f>
        <v>1</v>
      </c>
    </row>
    <row r="10">
      <c r="A10" s="4" t="inlineStr">
        <is>
          <t>Completion %</t>
        </is>
      </c>
      <c r="B10" s="9">
        <f>IFERROR(B7/B6,0)</f>
        <v>0.47058823529411764</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Done</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Done</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In Progress</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In Progress</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In Progress</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4"/>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NEXT_PUBLIC_SENTRY_DSN</t>
        </is>
      </c>
      <c r="B12" s="4" t="inlineStr">
        <is>
          <t>Public</t>
        </is>
      </c>
      <c r="C12" s="4" t="inlineStr">
        <is>
          <t>Recommended</t>
        </is>
      </c>
      <c r="D12" s="4" t="inlineStr">
        <is>
          <t>Error monitoring</t>
        </is>
      </c>
      <c r="E12" s="4" t="inlineStr">
        <is>
          <t>Scrub PII/secrets. A DSN is safe in the browser; lib/monitoring/scrub.ts masks emails and keys and drops request/user data (M14-P01). Monitoring is off when unset.</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row r="14">
      <c r="A14" s="4" t="inlineStr">
        <is>
          <t>EMAIL_FROM</t>
        </is>
      </c>
      <c r="B14" s="4" t="inlineStr">
        <is>
          <t>Server only</t>
        </is>
      </c>
      <c r="C14" s="4" t="inlineStr">
        <is>
          <t>Yes</t>
        </is>
      </c>
      <c r="D14" s="4" t="inlineStr">
        <is>
          <t>Sender for order confirmation email (M13-P01)</t>
        </is>
      </c>
      <c r="E14" s="4" t="inlineStr">
        <is>
          <t>Testing: onboarding@resend.dev (delivers only to the Resend account owner). Verified own domain required before launch.</t>
        </is>
      </c>
    </row>
  </sheetData>
  <autoFilter ref="A3:E14"/>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ht="165" customHeight="1">
      <c r="A8" s="2" t="inlineStr">
        <is>
          <t>M09-P01</t>
        </is>
      </c>
      <c r="B8" s="12" t="inlineStr">
        <is>
          <t>2026-09-28</t>
        </is>
      </c>
      <c r="C8" s="12" t="inlineStr">
        <is>
          <t>Verified PayMongo webhook creates exactly one paid order: provider-neutral payment_session_id/payment_id, immutable shipping_address snapshot, paid/unfulfilled/needs_review statuses; short stock or an over-limit coupon is recorded as needs_review without deducting stock; shipping_total 0 = paid to courier, tax_total 0 = included.</t>
        </is>
      </c>
      <c r="D8" s="12" t="inlineStr">
        <is>
          <t>Orders had no address fields and Stripe-named columns; paid customers must never lose an order to a race.</t>
        </is>
      </c>
      <c r="E8" s="12" t="inlineStr">
        <is>
          <t>05_DATA_MODEL orders; US-006; T-001/T-004/T-005/T-006. Migration 20260928054657 (record_paid_checkout, service_role only).</t>
        </is>
      </c>
      <c r="F8" s="10" t="inlineStr">
        <is>
          <t>Approved</t>
        </is>
      </c>
      <c r="G8" s="12" t="inlineStr">
        <is>
          <t>User (explicit session replies)</t>
        </is>
      </c>
    </row>
    <row r="9" ht="165" customHeight="1">
      <c r="A9" s="2" t="inlineStr">
        <is>
          <t>M11-P01</t>
        </is>
      </c>
      <c r="B9" s="12" t="inlineStr">
        <is>
          <t>2026-09-28</t>
        </is>
      </c>
      <c r="C9" s="12" t="inlineStr">
        <is>
          <t>Admin catalog: archive over delete; product images JPEG/PNG/WebP up to 4 MB, checked by content and by the bucket; admin-only storage policies; stock set with an optimistic check (no log table).</t>
        </is>
      </c>
      <c r="D9" s="12" t="inlineStr">
        <is>
          <t>Storage had no upload policy or limits; concurrent stock edits must not overwrite sales.</t>
        </is>
      </c>
      <c r="E9" s="12" t="inlineStr">
        <is>
          <t>02_SCOPE r19–r22; US-008/US-009; T-010/T-016. Migration 20260928073926.</t>
        </is>
      </c>
      <c r="F9" s="10" t="inlineStr">
        <is>
          <t>Approved</t>
        </is>
      </c>
      <c r="G9" s="12" t="inlineStr">
        <is>
          <t>User (explicit session replies)</t>
        </is>
      </c>
    </row>
    <row r="10" ht="165" customHeight="1">
      <c r="A10" s="2" t="inlineStr">
        <is>
          <t>M12-P01</t>
        </is>
      </c>
      <c r="B10" s="12" t="inlineStr">
        <is>
          <t>2026-09-28</t>
        </is>
      </c>
      <c r="C10" s="12" t="inlineStr">
        <is>
          <t>Fulfillment statuses Under review / To ship / Shipped / Delivered / Cancelled with fixed steps; courier and tracking number when shipping; order_status_history audit (admin read); one admin-only status function that cannot change payment state or amounts.</t>
        </is>
      </c>
      <c r="D10" s="12" t="inlineStr">
        <is>
          <t>PRD requires allowed fulfillment statuses, protected payment status and auditable updates; orders had no update path.</t>
        </is>
      </c>
      <c r="E10" s="12" t="inlineStr">
        <is>
          <t>02_SCOPE r21; US-010; 06_RLS_AUTH r13. Migrations 20260928081020 and 20260928081056.</t>
        </is>
      </c>
      <c r="F10" s="10" t="inlineStr">
        <is>
          <t>Approved</t>
        </is>
      </c>
      <c r="G10" s="12" t="inlineStr">
        <is>
          <t>User (explicit session replies)</t>
        </is>
      </c>
    </row>
    <row r="11" ht="165" customHeight="1">
      <c r="A11" s="2" t="inlineStr">
        <is>
          <t>M13-P01</t>
        </is>
      </c>
      <c r="B11" s="12" t="inlineStr">
        <is>
          <t>2026-09-28</t>
        </is>
      </c>
      <c r="C11" s="12" t="inlineStr">
        <is>
          <t>One order confirmation per paid order via the Resend API: confirmation_email_sent_at plus Resend Idempotency-Key = order id; on failure the order is untouched, the error is logged and the webhook returns 500 so PayMongo retries the email. New EMAIL_FROM variable; testing uses onboarding@resend.dev.</t>
        </is>
      </c>
      <c r="D11" s="12" t="inlineStr">
        <is>
          <t>PRD requires once per paid order, no duplicates on replayed webhooks, and failures logged without corrupting the order.</t>
        </is>
      </c>
      <c r="E11" s="12" t="inlineStr">
        <is>
          <t>M13 roadmap; T-004; 10_ENV_INTEGRATIONS RESEND_API_KEY + EMAIL_FROM. Migration 20260928082612.</t>
        </is>
      </c>
      <c r="F11" s="10" t="inlineStr">
        <is>
          <t>Approved</t>
        </is>
      </c>
      <c r="G11" s="12" t="inlineStr">
        <is>
          <t>User (explicit session replies)</t>
        </is>
      </c>
    </row>
    <row r="12" ht="165" customHeight="1">
      <c r="A12" s="2" t="inlineStr">
        <is>
          <t>M14-P01</t>
        </is>
      </c>
      <c r="B12" s="12" t="inlineStr">
        <is>
          <t>2026-09-28</t>
        </is>
      </c>
      <c r="C12" s="12" t="inlineStr">
        <is>
          <t>Sentry (@sentry/nextjs) errors only: no tracing, replay or default PII; every event scrubbed (request cookies/headers/bodies/query and user fields dropped; emails and PayMongo/Resend/Supabase keys, webhook secrets, JWTs and provider ids masked). Vercel Web Analytics (cookieless). onRequestError awaits a Sentry flush.</t>
        </is>
      </c>
      <c r="D12" s="12" t="inlineStr">
        <is>
          <t>PRD requires visible production errors with no secret or PII leakage. On Vercel, server errors were captured but lost unless the flush was awaited.</t>
        </is>
      </c>
      <c r="E12" s="12" t="inlineStr">
        <is>
          <t>M14 roadmap; 12_AI_GUARDRAILS r24; 10_ENV NEXT_PUBLIC_SENTRY_DSN. Packages @sentry/nextjs 11.0.0 and @vercel/analytics 2.0.1.</t>
        </is>
      </c>
      <c r="F12" s="10" t="inlineStr">
        <is>
          <t>Approved</t>
        </is>
      </c>
      <c r="G12" s="12" t="inlineStr">
        <is>
          <t>User (explicit session replies)</t>
        </is>
      </c>
    </row>
    <row r="13" ht="165" customHeight="1">
      <c r="A13" s="2" t="inlineStr">
        <is>
          <t>M15-P01</t>
        </is>
      </c>
      <c r="B13" s="12" t="inlineStr">
        <is>
          <t>2026-09-30</t>
        </is>
      </c>
      <c r="C13" s="12" t="inlineStr">
        <is>
          <t>Security fixes found in the M15 review: Referrer-Policy changed from no-referrer to same-origin (no-referrer made browsers send Origin: null on non-JS form posts, so Next.js aborted Server Actions as CSRF: the old M03 login HTTP 500); X-Frame-Options DENY, CSP frame-ancestors none and X-Content-Type-Options nosniff on every response.</t>
        </is>
      </c>
      <c r="D13" s="12" t="inlineStr">
        <is>
          <t>Review evidence: RLS/grants/functions clean; T-007 to T-016 pass; no server secrets in browser bundles; webhook forgery/stale/replay/mode rejected. The two fixes were implemented within M15 scope and approved by the user on 2026-09-30.</t>
        </is>
      </c>
      <c r="E13" s="12" t="inlineStr">
        <is>
          <t>12_AI_GUARDRAILS r13–r17, r24; 11_TEST_MATRIX T-007–T-016; proxy.ts, next.config.ts. A full Content-Security-Policy is recommended, not implemented.</t>
        </is>
      </c>
      <c r="F13" s="10" t="inlineStr">
        <is>
          <t>Approved</t>
        </is>
      </c>
      <c r="G13" s="12" t="inlineStr">
        <is>
          <t>User (explicit session reply, 2026-09-30)</t>
        </is>
      </c>
    </row>
    <row r="14" ht="165" customHeight="1">
      <c r="A14" s="2" t="inlineStr">
        <is>
          <t>M16-P01</t>
        </is>
      </c>
      <c r="B14" s="12" t="inlineStr">
        <is>
          <t>2026-09-30</t>
        </is>
      </c>
      <c r="C14" s="12" t="inlineStr">
        <is>
          <t>Soft launch on https://atleteka.vercel.app without a custom domain, guest checkout only. A permanent Resend refusal (HTTP 4xx except 408, 409, 429) of the order confirmation is logged and the webhook returns 200, so PayMongo stops retrying; transient failures still return 500 and are retried. Supabase Site URL and redirect URL set to atleteka.vercel.app.</t>
        </is>
      </c>
      <c r="D14" s="12" t="inlineStr">
        <is>
          <t>No domain yet: the Resend test sender only delivers to the account owner and the built-in Supabase mailer is rate limited, so customer emails cannot be delivered. Without this change every real order would make PayMongo retry the webhook indefinitely. Accounts are not offered to customers until a domain exists.</t>
        </is>
      </c>
      <c r="E14" s="12" t="inlineStr">
        <is>
          <t>Amends M13-P01 (retry until the email succeeds). lib/email/retry.ts, app/api/paymongo/webhook/route.ts, tests/email.test.mjs. Reversal: verify a domain in Resend, set EMAIL_FROM and Supabase custom SMTP.</t>
        </is>
      </c>
      <c r="F14" s="10" t="inlineStr">
        <is>
          <t>Approved</t>
        </is>
      </c>
      <c r="G14" s="12" t="inlineStr">
        <is>
          <t>User (explicit session reply, 2026-09-30)</t>
        </is>
      </c>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