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'10_ENV_INTEGRATIONS'!$A$3:$E$13</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PayMongo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6</v>
      </c>
    </row>
    <row r="7">
      <c r="A7" s="4" t="inlineStr">
        <is>
          <t>Done</t>
        </is>
      </c>
      <c r="B7" s="8">
        <f>COUNTIF('07_ROADMAP'!E4:E100,"Done")</f>
        <v>6</v>
      </c>
      <c r="C7" s="2" t="n"/>
      <c r="D7" s="4" t="inlineStr">
        <is>
          <t>In Progress</t>
        </is>
      </c>
      <c r="E7" s="8">
        <f>B8</f>
        <v>3</v>
      </c>
    </row>
    <row r="8">
      <c r="A8" s="4" t="inlineStr">
        <is>
          <t>In Progress</t>
        </is>
      </c>
      <c r="B8" s="8">
        <f>COUNTIF('07_ROADMAP'!E4:E100,"In Progress")</f>
        <v>3</v>
      </c>
      <c r="C8" s="2" t="n"/>
      <c r="D8" s="4" t="inlineStr">
        <is>
          <t>Blocked</t>
        </is>
      </c>
      <c r="E8" s="8">
        <f>B9</f>
        <v>0</v>
      </c>
    </row>
    <row r="9">
      <c r="A9" s="4" t="inlineStr">
        <is>
          <t>Blocked</t>
        </is>
      </c>
      <c r="B9" s="8">
        <f>COUNTIF('07_ROADMAP'!E4:E100,"Blocked")</f>
        <v>0</v>
      </c>
      <c r="C9" s="2" t="n"/>
      <c r="D9" s="4" t="inlineStr">
        <is>
          <t>Not Started</t>
        </is>
      </c>
      <c r="E9" s="8">
        <f>B6-B7-B8-B9</f>
        <v>8</v>
      </c>
    </row>
    <row r="10">
      <c r="A10" s="4" t="inlineStr">
        <is>
          <t>Completion %</t>
        </is>
      </c>
      <c r="B10" s="9">
        <f>IFERROR(B7/B6,0)</f>
        <v>0.35294117647058826</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PayMongo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M08-P01 (2026-09-25): online payment charges the merchandise total after discounts; the customer pays the third-party courier's shipping fee directly on delivery. No carrier integration.</t>
        </is>
      </c>
    </row>
    <row r="12">
      <c r="A12" s="4" t="inlineStr">
        <is>
          <t>Checkout</t>
        </is>
      </c>
      <c r="B12" s="4" t="inlineStr">
        <is>
          <t>Payments</t>
        </is>
      </c>
      <c r="C12" s="4" t="inlineStr">
        <is>
          <t>PayMongo hosted checkout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PayMongo</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PayMongo checkout session with metadata</t>
        </is>
      </c>
      <c r="C25" s="4" t="inlineStr">
        <is>
          <t>Use internal order/cart reference</t>
        </is>
      </c>
      <c r="D25" s="4" t="inlineStr"/>
    </row>
    <row r="26">
      <c r="A26" s="4" t="inlineStr">
        <is>
          <t>5</t>
        </is>
      </c>
      <c r="B26" s="4" t="inlineStr">
        <is>
          <t>Customer completes payment on PayMongo hosted checkout</t>
        </is>
      </c>
      <c r="C26" s="4" t="inlineStr">
        <is>
          <t>Browser redirect is not proof of payment</t>
        </is>
      </c>
      <c r="D26" s="4" t="inlineStr"/>
    </row>
    <row r="27">
      <c r="A27" s="4" t="inlineStr">
        <is>
          <t>6</t>
        </is>
      </c>
      <c r="B27" s="4" t="inlineStr">
        <is>
          <t>PayMongo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/api/paymongo/webhook</t>
        </is>
      </c>
      <c r="B23" s="4" t="inlineStr">
        <is>
          <t>PayMongo only</t>
        </is>
      </c>
      <c r="C23" s="4" t="inlineStr">
        <is>
          <t>Route handler</t>
        </is>
      </c>
      <c r="D23" s="4" t="inlineStr">
        <is>
          <t>Receive PayMongo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payment provider refs (PayMongo; column rename proposed in M09),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PayMongo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In Progress</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PayMongo payment</t>
        </is>
      </c>
      <c r="C12" s="4" t="inlineStr">
        <is>
          <t>P0</t>
        </is>
      </c>
      <c r="D12" s="4" t="inlineStr">
        <is>
          <t>M07</t>
        </is>
      </c>
      <c r="E12" s="12" t="inlineStr">
        <is>
          <t>In Progress</t>
        </is>
      </c>
      <c r="F12" s="4" t="inlineStr">
        <is>
          <t>PayMongo hosted checkout session and safe metadata; merchandise-only charge (shipping paid to courier on delivery)</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Not Started</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Not Started</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Not Started</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Not Started</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Not Started</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Not Started</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Not Started</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PayMongo only for MVP (M08-P01).</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3"/>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 (removed)</t>
        </is>
      </c>
      <c r="B7" s="4" t="inlineStr">
        <is>
          <t>Public</t>
        </is>
      </c>
      <c r="C7" s="4" t="inlineStr">
        <is>
          <t>No</t>
        </is>
      </c>
      <c r="D7" s="4" t="inlineStr">
        <is>
          <t>Not used: PayMongo hosted checkout needs no public key (M08-P01).</t>
        </is>
      </c>
      <c r="E7" s="4" t="inlineStr">
        <is>
          <t>Do not configure.</t>
        </is>
      </c>
    </row>
    <row r="8">
      <c r="A8" s="4" t="inlineStr">
        <is>
          <t>PAYMONGO_SECRET_KEY</t>
        </is>
      </c>
      <c r="B8" s="4" t="inlineStr">
        <is>
          <t>Server only</t>
        </is>
      </c>
      <c r="C8" s="4" t="inlineStr">
        <is>
          <t>Yes</t>
        </is>
      </c>
      <c r="D8" s="4" t="inlineStr">
        <is>
          <t>Create PayMongo checkout sessions</t>
        </is>
      </c>
      <c r="E8" s="4" t="inlineStr">
        <is>
          <t>Never log or expose.</t>
        </is>
      </c>
    </row>
    <row r="9">
      <c r="A9" s="4" t="inlineStr">
        <is>
          <t>PAYMONGO_WEBHOOK_SECRET</t>
        </is>
      </c>
      <c r="B9" s="4" t="inlineStr">
        <is>
          <t>Server only</t>
        </is>
      </c>
      <c r="C9" s="4" t="inlineStr">
        <is>
          <t>Yes</t>
        </is>
      </c>
      <c r="D9" s="4" t="inlineStr">
        <is>
          <t>Verify PayMongo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SENTRY_DSN / related</t>
        </is>
      </c>
      <c r="B12" s="4" t="inlineStr">
        <is>
          <t>Mixed</t>
        </is>
      </c>
      <c r="C12" s="4" t="inlineStr">
        <is>
          <t>Recommended</t>
        </is>
      </c>
      <c r="D12" s="4" t="inlineStr">
        <is>
          <t>Error monitoring</t>
        </is>
      </c>
      <c r="E12" s="4" t="inlineStr">
        <is>
          <t>Scrub PII/secrets.</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sheetData>
  <autoFilter ref="A3:E13"/>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PayMongo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PayMongo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ht="165" customHeight="1">
      <c r="A7" s="2" t="inlineStr">
        <is>
          <t>M08-P01</t>
        </is>
      </c>
      <c r="B7" s="12" t="inlineStr">
        <is>
          <t>2026-09-25</t>
        </is>
      </c>
      <c r="C7" s="12" t="inlineStr">
        <is>
          <t>Replace Stripe with PayMongo hosted checkout (supersedes D-001's payment provider only). M08 charges the merchandise total after discounts; shipping is paid to the courier on delivery. M08 authorized while M03/M07 stay In Progress for one open M03 check.</t>
        </is>
      </c>
      <c r="D7" s="12" t="inlineStr">
        <is>
          <t>Deployment is in the Philippines. Stripe does not list PH availability and local methods (GCash, Maya, QR Ph) are uncertain. PayMongo is PH-native with hosted checkout and signed webhooks.</t>
        </is>
      </c>
      <c r="E7" s="12" t="inlineStr">
        <is>
          <t>01_EXEC_SUMMARY; 02_SCOPE; 03_ARCHITECTURE; 04_ROUTES; 05_DATA_MODEL; 07_ROADMAP; US-005; 10_ENV_INTEGRATIONS; 12_AI_GUARDRAILS. No new package; PAYMONGO_SECRET_KEY/PAYMONGO_WEBHOOK_SECRET replace Stripe env. No schema change in M08.</t>
        </is>
      </c>
      <c r="F7" s="10" t="inlineStr">
        <is>
          <t>Approved</t>
        </is>
      </c>
      <c r="G7" s="12" t="inlineStr">
        <is>
          <t>User (explicit session replies)</t>
        </is>
      </c>
    </row>
    <row r="8">
      <c r="A8" s="2" t="n"/>
      <c r="B8" s="12" t="n"/>
      <c r="C8" s="12" t="n"/>
      <c r="D8" s="12" t="n"/>
      <c r="E8" s="12" t="n"/>
      <c r="F8" s="10" t="n"/>
      <c r="G8" s="12" t="n"/>
    </row>
    <row r="9">
      <c r="A9" s="2" t="n"/>
      <c r="B9" s="12" t="n"/>
      <c r="C9" s="12" t="n"/>
      <c r="D9" s="12" t="n"/>
      <c r="E9" s="12" t="n"/>
      <c r="F9" s="10" t="n"/>
      <c r="G9" s="12" t="n"/>
    </row>
    <row r="10">
      <c r="A10" s="2" t="n"/>
      <c r="B10" s="12" t="n"/>
      <c r="C10" s="12" t="n"/>
      <c r="D10" s="12" t="n"/>
      <c r="E10" s="12" t="n"/>
      <c r="F10" s="10" t="n"/>
      <c r="G10" s="12" t="n"/>
    </row>
    <row r="11">
      <c r="A11" s="2" t="n"/>
      <c r="B11" s="12" t="n"/>
      <c r="C11" s="12" t="n"/>
      <c r="D11" s="12" t="n"/>
      <c r="E11" s="12" t="n"/>
      <c r="F11" s="10" t="n"/>
      <c r="G11" s="12" t="n"/>
    </row>
    <row r="12">
      <c r="A12" s="2" t="n"/>
      <c r="B12" s="12" t="n"/>
      <c r="C12" s="12" t="n"/>
      <c r="D12" s="12" t="n"/>
      <c r="E12" s="12" t="n"/>
      <c r="F12" s="10" t="n"/>
      <c r="G12" s="12" t="n"/>
    </row>
    <row r="13">
      <c r="A13" s="2" t="n"/>
      <c r="B13" s="12" t="n"/>
      <c r="C13" s="12" t="n"/>
      <c r="D13" s="12" t="n"/>
      <c r="E13" s="12" t="n"/>
      <c r="F13" s="10" t="n"/>
      <c r="G13" s="12" t="n"/>
    </row>
    <row r="14">
      <c r="A14" s="2" t="n"/>
      <c r="B14" s="12" t="n"/>
      <c r="C14" s="12" t="n"/>
      <c r="D14" s="12" t="n"/>
      <c r="E14" s="12" t="n"/>
      <c r="F14" s="10" t="n"/>
      <c r="G14" s="12" t="n"/>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