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'10_ENV_INTEGRATIONS'!$A$3:$E$14</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9</v>
      </c>
    </row>
    <row r="8">
      <c r="A8" s="4" t="inlineStr">
        <is>
          <t>In Progress</t>
        </is>
      </c>
      <c r="B8" s="8">
        <f>COUNTIF('07_ROADMAP'!E4:E100,"In Progress")</f>
        <v>9</v>
      </c>
      <c r="C8" s="2" t="n"/>
      <c r="D8" s="4" t="inlineStr">
        <is>
          <t>Blocked</t>
        </is>
      </c>
      <c r="E8" s="8">
        <f>B9</f>
        <v>0</v>
      </c>
    </row>
    <row r="9">
      <c r="A9" s="4" t="inlineStr">
        <is>
          <t>Blocked</t>
        </is>
      </c>
      <c r="B9" s="8">
        <f>COUNTIF('07_ROADMAP'!E4:E100,"Blocked")</f>
        <v>0</v>
      </c>
      <c r="C9" s="2" t="n"/>
      <c r="D9" s="4" t="inlineStr">
        <is>
          <t>Not Started</t>
        </is>
      </c>
      <c r="E9" s="8">
        <f>B6-B7-B8-B9</f>
        <v>2</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In Progress</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In Progress</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In Progress</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4"/>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NEXT_PUBLIC_SENTRY_DSN</t>
        </is>
      </c>
      <c r="B12" s="4" t="inlineStr">
        <is>
          <t>Public</t>
        </is>
      </c>
      <c r="C12" s="4" t="inlineStr">
        <is>
          <t>Recommended</t>
        </is>
      </c>
      <c r="D12" s="4" t="inlineStr">
        <is>
          <t>Error monitoring</t>
        </is>
      </c>
      <c r="E12" s="4" t="inlineStr">
        <is>
          <t>Scrub PII/secrets. A DSN is safe in the browser; lib/monitoring/scrub.ts masks emails and keys and drops request/user data (M14-P01). Monitoring is off when unset.</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row r="14">
      <c r="A14" s="4" t="inlineStr">
        <is>
          <t>EMAIL_FROM</t>
        </is>
      </c>
      <c r="B14" s="4" t="inlineStr">
        <is>
          <t>Server only</t>
        </is>
      </c>
      <c r="C14" s="4" t="inlineStr">
        <is>
          <t>Yes</t>
        </is>
      </c>
      <c r="D14" s="4" t="inlineStr">
        <is>
          <t>Sender for order confirmation email (M13-P01)</t>
        </is>
      </c>
      <c r="E14" s="4" t="inlineStr">
        <is>
          <t>Testing: onboarding@resend.dev (delivers only to the Resend account owner). Verified own domain required before launch.</t>
        </is>
      </c>
    </row>
  </sheetData>
  <autoFilter ref="A3:E14"/>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ht="165" customHeight="1">
      <c r="A8" s="2" t="inlineStr">
        <is>
          <t>M09-P01</t>
        </is>
      </c>
      <c r="B8" s="12" t="inlineStr">
        <is>
          <t>2026-09-28</t>
        </is>
      </c>
      <c r="C8" s="12" t="inlineStr">
        <is>
          <t>Verified PayMongo webhook creates exactly one paid order: provider-neutral payment_session_id/payment_id, immutable shipping_address snapshot, paid/unfulfilled/needs_review statuses; short stock or an over-limit coupon is recorded as needs_review without deducting stock; shipping_total 0 = paid to courier, tax_total 0 = included.</t>
        </is>
      </c>
      <c r="D8" s="12" t="inlineStr">
        <is>
          <t>Orders had no address fields and Stripe-named columns; paid customers must never lose an order to a race.</t>
        </is>
      </c>
      <c r="E8" s="12" t="inlineStr">
        <is>
          <t>05_DATA_MODEL orders; US-006; T-001/T-004/T-005/T-006. Migration 20260928054657 (record_paid_checkout, service_role only).</t>
        </is>
      </c>
      <c r="F8" s="10" t="inlineStr">
        <is>
          <t>Approved</t>
        </is>
      </c>
      <c r="G8" s="12" t="inlineStr">
        <is>
          <t>User (explicit session replies)</t>
        </is>
      </c>
    </row>
    <row r="9" ht="165" customHeight="1">
      <c r="A9" s="2" t="inlineStr">
        <is>
          <t>M11-P01</t>
        </is>
      </c>
      <c r="B9" s="12" t="inlineStr">
        <is>
          <t>2026-09-28</t>
        </is>
      </c>
      <c r="C9" s="12" t="inlineStr">
        <is>
          <t>Admin catalog: archive over delete; product images JPEG/PNG/WebP up to 4 MB, checked by content and by the bucket; admin-only storage policies; stock set with an optimistic check (no log table).</t>
        </is>
      </c>
      <c r="D9" s="12" t="inlineStr">
        <is>
          <t>Storage had no upload policy or limits; concurrent stock edits must not overwrite sales.</t>
        </is>
      </c>
      <c r="E9" s="12" t="inlineStr">
        <is>
          <t>02_SCOPE r19–r22; US-008/US-009; T-010/T-016. Migration 20260928073926.</t>
        </is>
      </c>
      <c r="F9" s="10" t="inlineStr">
        <is>
          <t>Approved</t>
        </is>
      </c>
      <c r="G9" s="12" t="inlineStr">
        <is>
          <t>User (explicit session replies)</t>
        </is>
      </c>
    </row>
    <row r="10" ht="165" customHeight="1">
      <c r="A10" s="2" t="inlineStr">
        <is>
          <t>M12-P01</t>
        </is>
      </c>
      <c r="B10" s="12" t="inlineStr">
        <is>
          <t>2026-09-28</t>
        </is>
      </c>
      <c r="C10" s="12" t="inlineStr">
        <is>
          <t>Fulfillment statuses Under review / To ship / Shipped / Delivered / Cancelled with fixed steps; courier and tracking number when shipping; order_status_history audit (admin read); one admin-only status function that cannot change payment state or amounts.</t>
        </is>
      </c>
      <c r="D10" s="12" t="inlineStr">
        <is>
          <t>PRD requires allowed fulfillment statuses, protected payment status and auditable updates; orders had no update path.</t>
        </is>
      </c>
      <c r="E10" s="12" t="inlineStr">
        <is>
          <t>02_SCOPE r21; US-010; 06_RLS_AUTH r13. Migrations 20260928081020 and 20260928081056.</t>
        </is>
      </c>
      <c r="F10" s="10" t="inlineStr">
        <is>
          <t>Approved</t>
        </is>
      </c>
      <c r="G10" s="12" t="inlineStr">
        <is>
          <t>User (explicit session replies)</t>
        </is>
      </c>
    </row>
    <row r="11" ht="165" customHeight="1">
      <c r="A11" s="2" t="inlineStr">
        <is>
          <t>M13-P01</t>
        </is>
      </c>
      <c r="B11" s="12" t="inlineStr">
        <is>
          <t>2026-09-28</t>
        </is>
      </c>
      <c r="C11" s="12" t="inlineStr">
        <is>
          <t>One order confirmation per paid order via the Resend API: confirmation_email_sent_at plus Resend Idempotency-Key = order id; on failure the order is untouched, the error is logged and the webhook returns 500 so PayMongo retries the email. New EMAIL_FROM variable; testing uses onboarding@resend.dev.</t>
        </is>
      </c>
      <c r="D11" s="12" t="inlineStr">
        <is>
          <t>PRD requires once per paid order, no duplicates on replayed webhooks, and failures logged without corrupting the order.</t>
        </is>
      </c>
      <c r="E11" s="12" t="inlineStr">
        <is>
          <t>M13 roadmap; T-004; 10_ENV_INTEGRATIONS RESEND_API_KEY + EMAIL_FROM. Migration 20260928082612.</t>
        </is>
      </c>
      <c r="F11" s="10" t="inlineStr">
        <is>
          <t>Approved</t>
        </is>
      </c>
      <c r="G11" s="12" t="inlineStr">
        <is>
          <t>User (explicit session replies)</t>
        </is>
      </c>
    </row>
    <row r="12" ht="165" customHeight="1">
      <c r="A12" s="2" t="inlineStr">
        <is>
          <t>M14-P01</t>
        </is>
      </c>
      <c r="B12" s="12" t="inlineStr">
        <is>
          <t>2026-09-28</t>
        </is>
      </c>
      <c r="C12" s="12" t="inlineStr">
        <is>
          <t>Sentry (@sentry/nextjs) errors only: no tracing, replay or default PII; every event scrubbed (request cookies/headers/bodies/query and user fields dropped; emails and PayMongo/Resend/Supabase keys, webhook secrets, JWTs and provider ids masked). Vercel Web Analytics (cookieless). onRequestError awaits a Sentry flush.</t>
        </is>
      </c>
      <c r="D12" s="12" t="inlineStr">
        <is>
          <t>PRD requires visible production errors with no secret or PII leakage. On Vercel, server errors were captured but lost unless the flush was awaited.</t>
        </is>
      </c>
      <c r="E12" s="12" t="inlineStr">
        <is>
          <t>M14 roadmap; 12_AI_GUARDRAILS r24; 10_ENV NEXT_PUBLIC_SENTRY_DSN. Packages @sentry/nextjs 11.0.0 and @vercel/analytics 2.0.1.</t>
        </is>
      </c>
      <c r="F12" s="10" t="inlineStr">
        <is>
          <t>Approved</t>
        </is>
      </c>
      <c r="G12" s="12" t="inlineStr">
        <is>
          <t>User (explicit session replies)</t>
        </is>
      </c>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