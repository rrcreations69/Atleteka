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10</v>
      </c>
    </row>
    <row r="8">
      <c r="A8" s="4" t="inlineStr">
        <is>
          <t>In Progress</t>
        </is>
      </c>
      <c r="B8" s="8">
        <f>COUNTIF('07_ROADMAP'!E4:E100,"In Progress")</f>
        <v>10</v>
      </c>
      <c r="C8" s="2" t="n"/>
      <c r="D8" s="4" t="inlineStr">
        <is>
          <t>Blocked</t>
        </is>
      </c>
      <c r="E8" s="8">
        <f>B9</f>
        <v>0</v>
      </c>
    </row>
    <row r="9">
      <c r="A9" s="4" t="inlineStr">
        <is>
          <t>Blocked</t>
        </is>
      </c>
      <c r="B9" s="8">
        <f>COUNTIF('07_ROADMAP'!E4:E100,"Blocked")</f>
        <v>0</v>
      </c>
      <c r="C9" s="2" t="n"/>
      <c r="D9" s="4" t="inlineStr">
        <is>
          <t>Not Started</t>
        </is>
      </c>
      <c r="E9" s="8">
        <f>B6-B7-B8-B9</f>
        <v>1</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In Progress</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In Progress</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NEXT_PUBLIC_SENTRY_DSN</t>
        </is>
      </c>
      <c r="B12" s="4" t="inlineStr">
        <is>
          <t>Public</t>
        </is>
      </c>
      <c r="C12" s="4" t="inlineStr">
        <is>
          <t>Recommended</t>
        </is>
      </c>
      <c r="D12" s="4" t="inlineStr">
        <is>
          <t>Error monitoring</t>
        </is>
      </c>
      <c r="E12" s="4" t="inlineStr">
        <is>
          <t>Scrub PII/secrets. A DSN is safe in the browser; lib/monitoring/scrub.ts masks emails and keys and drops request/user data (M14-P01). Monitoring is off when unset.</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ht="165" customHeight="1">
      <c r="A12" s="2" t="inlineStr">
        <is>
          <t>M14-P01</t>
        </is>
      </c>
      <c r="B12" s="12" t="inlineStr">
        <is>
          <t>2026-09-28</t>
        </is>
      </c>
      <c r="C12" s="12" t="inlineStr">
        <is>
          <t>Sentry (@sentry/nextjs) errors only: no tracing, replay or default PII; every event scrubbed (request cookies/headers/bodies/query and user fields dropped; emails and PayMongo/Resend/Supabase keys, webhook secrets, JWTs and provider ids masked). Vercel Web Analytics (cookieless). onRequestError awaits a Sentry flush.</t>
        </is>
      </c>
      <c r="D12" s="12" t="inlineStr">
        <is>
          <t>PRD requires visible production errors with no secret or PII leakage. On Vercel, server errors were captured but lost unless the flush was awaited.</t>
        </is>
      </c>
      <c r="E12" s="12" t="inlineStr">
        <is>
          <t>M14 roadmap; 12_AI_GUARDRAILS r24; 10_ENV NEXT_PUBLIC_SENTRY_DSN. Packages @sentry/nextjs 11.0.0 and @vercel/analytics 2.0.1.</t>
        </is>
      </c>
      <c r="F12" s="10" t="inlineStr">
        <is>
          <t>Approved</t>
        </is>
      </c>
      <c r="G12" s="12" t="inlineStr">
        <is>
          <t>User (explicit session replies)</t>
        </is>
      </c>
    </row>
    <row r="13" ht="165" customHeight="1">
      <c r="A13" s="2" t="inlineStr">
        <is>
          <t>M15-P01</t>
        </is>
      </c>
      <c r="B13" s="12" t="inlineStr">
        <is>
          <t>2026-09-30</t>
        </is>
      </c>
      <c r="C13" s="12" t="inlineStr">
        <is>
          <t>Security fixes found in the M15 review: Referrer-Policy changed from no-referrer to same-origin (no-referrer made browsers send Origin: null on non-JS form posts, so Next.js aborted Server Actions as CSRF: the old M03 login HTTP 500); X-Frame-Options DENY, CSP frame-ancestors none and X-Content-Type-Options nosniff on every response.</t>
        </is>
      </c>
      <c r="D13" s="12" t="inlineStr">
        <is>
          <t>Review evidence: RLS/grants/functions clean; T-007 to T-016 pass; no server secrets in browser bundles; webhook forgery/stale/replay/mode rejected. The two fixes were implemented within M15 scope and need explicit user confirmation.</t>
        </is>
      </c>
      <c r="E13" s="12" t="inlineStr">
        <is>
          <t>12_AI_GUARDRAILS r13–r17, r24; 11_TEST_MATRIX T-007–T-016; proxy.ts, next.config.ts. A full Content-Security-Policy is recommended, not implemented.</t>
        </is>
      </c>
      <c r="F13" s="10" t="inlineStr">
        <is>
          <t>Proposed</t>
        </is>
      </c>
      <c r="G13" s="12" t="inlineStr">
        <is>
          <t>Claude (awaiting user confirmation)</t>
        </is>
      </c>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