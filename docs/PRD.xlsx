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START_HERE" sheetId="1" state="visible" r:id="rId1"/>
    <sheet xmlns:r="http://schemas.openxmlformats.org/officeDocument/2006/relationships" name="15_DASHBOARD" sheetId="2" state="visible" r:id="rId2"/>
    <sheet xmlns:r="http://schemas.openxmlformats.org/officeDocument/2006/relationships" name="01_EXEC_SUMMARY" sheetId="3" state="visible" r:id="rId3"/>
    <sheet xmlns:r="http://schemas.openxmlformats.org/officeDocument/2006/relationships" name="02_SCOPE" sheetId="4" state="visible" r:id="rId4"/>
    <sheet xmlns:r="http://schemas.openxmlformats.org/officeDocument/2006/relationships" name="03_ARCHITECTURE" sheetId="5" state="visible" r:id="rId5"/>
    <sheet xmlns:r="http://schemas.openxmlformats.org/officeDocument/2006/relationships" name="04_ROUTES" sheetId="6" state="visible" r:id="rId6"/>
    <sheet xmlns:r="http://schemas.openxmlformats.org/officeDocument/2006/relationships" name="05_DATA_MODEL" sheetId="7" state="visible" r:id="rId7"/>
    <sheet xmlns:r="http://schemas.openxmlformats.org/officeDocument/2006/relationships" name="06_RLS_AUTH" sheetId="8" state="visible" r:id="rId8"/>
    <sheet xmlns:r="http://schemas.openxmlformats.org/officeDocument/2006/relationships" name="07_ROADMAP" sheetId="9" state="visible" r:id="rId9"/>
    <sheet xmlns:r="http://schemas.openxmlformats.org/officeDocument/2006/relationships" name="08_USER_STORIES" sheetId="10" state="visible" r:id="rId10"/>
    <sheet xmlns:r="http://schemas.openxmlformats.org/officeDocument/2006/relationships" name="09_COMPONENTS" sheetId="11" state="visible" r:id="rId11"/>
    <sheet xmlns:r="http://schemas.openxmlformats.org/officeDocument/2006/relationships" name="10_ENV_INTEGRATIONS" sheetId="12" state="visible" r:id="rId12"/>
    <sheet xmlns:r="http://schemas.openxmlformats.org/officeDocument/2006/relationships" name="11_TEST_MATRIX" sheetId="13" state="visible" r:id="rId13"/>
    <sheet xmlns:r="http://schemas.openxmlformats.org/officeDocument/2006/relationships" name="12_AI_GUARDRAILS" sheetId="14" state="visible" r:id="rId14"/>
    <sheet xmlns:r="http://schemas.openxmlformats.org/officeDocument/2006/relationships" name="13_MASTER_PROMPT" sheetId="15" state="visible" r:id="rId15"/>
    <sheet xmlns:r="http://schemas.openxmlformats.org/officeDocument/2006/relationships" name="14_DECISION_LOG" sheetId="16" state="visible" r:id="rId16"/>
  </sheets>
  <definedNames>
    <definedName name="_xlnm._FilterDatabase" localSheetId="0" hidden="1">'00_START_HERE'!$A$7:$D$21</definedName>
    <definedName name="_xlnm._FilterDatabase" localSheetId="2" hidden="1">'01_EXEC_SUMMARY'!$A$3:$C$11</definedName>
    <definedName name="_xlnm._FilterDatabase" localSheetId="3" hidden="1">'02_SCOPE'!$A$3:$E$32</definedName>
    <definedName name="_xlnm._FilterDatabase" localSheetId="4" hidden="1">'03_ARCHITECTURE'!$A$3:$D$17</definedName>
    <definedName name="_xlnm._FilterDatabase" localSheetId="5" hidden="1">'04_ROUTES'!$A$3:$E$23</definedName>
    <definedName name="_xlnm._FilterDatabase" localSheetId="6" hidden="1">'05_DATA_MODEL'!$A$3:$E$17</definedName>
    <definedName name="_xlnm._FilterDatabase" localSheetId="7" hidden="1">'06_RLS_AUTH'!$A$3:$E$15</definedName>
    <definedName name="_xlnm._FilterDatabase" localSheetId="8" hidden="1">'07_ROADMAP'!$A$3:$I$20</definedName>
    <definedName name="_xlnm._FilterDatabase" localSheetId="9" hidden="1">'08_USER_STORIES'!$A$3:$G$13</definedName>
    <definedName name="_xlnm._FilterDatabase" localSheetId="10" hidden="1">'09_COMPONENTS'!$A$3:$D$20</definedName>
    <definedName name="_xlnm._FilterDatabase" localSheetId="11" hidden="1">'10_ENV_INTEGRATIONS'!$A$3:$E$13</definedName>
    <definedName name="_xlnm._FilterDatabase" localSheetId="12" hidden="1">'11_TEST_MATRIX'!$A$3:$F$21</definedName>
    <definedName name="_xlnm._FilterDatabase" localSheetId="13" hidden="1">'12_AI_GUARDRAILS'!$A$3:$C$27</definedName>
    <definedName name="_xlnm._FilterDatabase" localSheetId="15" hidden="1">'14_DECISION_LOG'!$A$3:$G$200</definedName>
  </definedNames>
  <calcPr calcId="124519" calcMode="auto" fullCalcOnLoad="1" forceFullCalc="1"/>
</workbook>
</file>

<file path=xl/styles.xml><?xml version="1.0" encoding="utf-8"?>
<styleSheet xmlns="http://schemas.openxmlformats.org/spreadsheetml/2006/main">
  <numFmts count="0"/>
  <fonts count="11">
    <font>
      <name val="Calibri"/>
      <family val="2"/>
      <color theme="1"/>
      <sz val="11"/>
      <scheme val="minor"/>
    </font>
    <font>
      <b val="1"/>
      <color rgb="00FFFFFF"/>
      <sz val="16"/>
    </font>
    <font>
      <b val="1"/>
      <color rgb="000F766E"/>
    </font>
    <font>
      <b val="1"/>
      <color rgb="00FFFFFF"/>
    </font>
    <font>
      <color rgb="00008000"/>
    </font>
    <font>
      <color rgb="00666666"/>
    </font>
    <font>
      <color rgb="007C3AED"/>
    </font>
    <font>
      <color rgb="000000FF"/>
    </font>
    <font>
      <name val="Consolas"/>
      <color rgb="00333333"/>
      <sz val="10"/>
    </font>
    <font>
      <b val="1"/>
      <color rgb="000F766E"/>
      <sz val="13"/>
    </font>
    <font>
      <color rgb="00000000"/>
    </font>
  </fonts>
  <fills count="4">
    <fill>
      <patternFill/>
    </fill>
    <fill>
      <patternFill patternType="gray125"/>
    </fill>
    <fill>
      <patternFill patternType="solid">
        <fgColor rgb="000F172A"/>
      </patternFill>
    </fill>
    <fill>
      <patternFill patternType="solid">
        <fgColor rgb="002563EB"/>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5" fillId="0" borderId="0" applyAlignment="1" pivotButton="0" quotePrefix="0" xfId="0">
      <alignment vertical="top" wrapText="1"/>
    </xf>
    <xf numFmtId="0" fontId="3" fillId="3" borderId="0" applyAlignment="1" pivotButton="0" quotePrefix="0" xfId="0">
      <alignment vertical="top" wrapText="1"/>
    </xf>
    <xf numFmtId="0" fontId="4"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9" fontId="10" fillId="0" borderId="0" applyAlignment="1" pivotButton="0" quotePrefix="0" xfId="0">
      <alignment vertical="top" wrapText="1"/>
    </xf>
    <xf numFmtId="0" fontId="6" fillId="0" borderId="0" applyAlignment="1" pivotButton="0" quotePrefix="0" xfId="0">
      <alignment vertical="top" wrapText="1"/>
    </xf>
    <xf numFmtId="0" fontId="3" fillId="2" borderId="0" applyAlignment="1" pivotButton="0" quotePrefix="0" xfId="0">
      <alignment vertical="top" wrapText="1"/>
    </xf>
    <xf numFmtId="0" fontId="7" fillId="0" borderId="0" applyAlignment="1" pivotButton="0" quotePrefix="0" xfId="0">
      <alignment vertical="top" wrapText="1"/>
    </xf>
    <xf numFmtId="0" fontId="1" fillId="2" borderId="0" applyAlignment="1" pivotButton="0" quotePrefix="0" xfId="0">
      <alignment vertical="center"/>
    </xf>
    <xf numFmtId="0" fontId="8" fillId="0" borderId="0" applyAlignment="1" pivotButton="0" quotePrefix="0" xfId="0">
      <alignment vertical="top" wrapText="1"/>
    </xf>
  </cellXfs>
  <cellStyles count="1">
    <cellStyle name="Normal" xfId="0" builtinId="0" hidden="0"/>
  </cellStyles>
  <dxfs count="2">
    <dxf>
      <fill>
        <patternFill patternType="solid">
          <fgColor rgb="00FEE2E2"/>
        </patternFill>
      </fill>
    </dxf>
    <dxf>
      <fill>
        <patternFill patternType="solid">
          <fgColor rgb="00DCFC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Milestone Status</a:t>
            </a:r>
          </a:p>
        </rich>
      </tx>
    </title>
    <plotArea>
      <barChart>
        <barDir val="col"/>
        <grouping val="clustered"/>
        <ser>
          <idx val="0"/>
          <order val="0"/>
          <tx>
            <strRef>
              <f>'15_DASHBOARD'!E5</f>
            </strRef>
          </tx>
          <spPr>
            <a:ln xmlns:a="http://schemas.openxmlformats.org/drawingml/2006/main">
              <a:prstDash val="solid"/>
            </a:ln>
          </spPr>
          <cat>
            <numRef>
              <f>'15_DASHBOARD'!$D$6:$D$9</f>
            </numRef>
          </cat>
          <val>
            <numRef>
              <f>'15_DASHBOARD'!$E$6:$E$9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Status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14</row>
      <rowOff>0</rowOff>
    </from>
    <ext cx="39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2563EB"/>
    <outlinePr summaryBelow="1" summaryRight="1"/>
    <pageSetUpPr/>
  </sheetPr>
  <dimension ref="A1:D21"/>
  <sheetViews>
    <sheetView showGridLines="0" workbookViewId="0">
      <pane ySplit="5" topLeftCell="A6" activePane="bottomLeft" state="frozen"/>
      <selection pane="bottomLeft" activeCell="A1" sqref="A1"/>
    </sheetView>
  </sheetViews>
  <sheetFormatPr baseColWidth="8" defaultRowHeight="15"/>
  <cols>
    <col width="24" customWidth="1" min="1" max="1"/>
    <col width="42" customWidth="1" min="2" max="2"/>
    <col width="68" customWidth="1" min="3" max="3"/>
    <col width="24" customWidth="1" min="4" max="4"/>
  </cols>
  <sheetData>
    <row r="1" ht="28" customHeight="1">
      <c r="A1" s="1" t="inlineStr">
        <is>
          <t>E-Commerce Vibe Coding PRD — Source of Truth</t>
        </is>
      </c>
      <c r="B1" s="2" t="n"/>
      <c r="C1" s="2" t="n"/>
      <c r="D1" s="2" t="n"/>
    </row>
    <row r="2">
      <c r="A2" s="2" t="n"/>
      <c r="B2" s="2" t="n"/>
      <c r="C2" s="2" t="n"/>
      <c r="D2" s="2" t="n"/>
    </row>
    <row r="3">
      <c r="A3" s="3" t="inlineStr">
        <is>
          <t>Purpose</t>
        </is>
      </c>
      <c r="B3" s="4" t="inlineStr">
        <is>
          <t>Use this workbook as the binding product/engineering brief for AI-assisted implementation. Anything not explicitly included is OUT OF SCOPE unless the PRD is updated first.</t>
        </is>
      </c>
      <c r="C3" s="2" t="n"/>
      <c r="D3" s="2" t="n"/>
    </row>
    <row r="4">
      <c r="A4" s="3" t="inlineStr">
        <is>
          <t>Recommended stack</t>
        </is>
      </c>
      <c r="B4" s="4" t="inlineStr">
        <is>
          <t>Next.js (App Router) + TypeScript + Tailwind CSS + shadcn/ui + Supabase (Postgres/Auth/Storage) + PayMongo + Zod + React Hook Form + Resend + Vercel + Sentry.</t>
        </is>
      </c>
      <c r="C4" s="2" t="n"/>
      <c r="D4" s="2" t="n"/>
    </row>
    <row r="5">
      <c r="A5" s="3" t="inlineStr">
        <is>
          <t>Operating rule</t>
        </is>
      </c>
      <c r="B5" s="4" t="inlineStr">
        <is>
          <t>Plan → implement one bounded milestone → test → review → commit → move to the next milestone. Do not let the AI invent features or architecture mid-build.</t>
        </is>
      </c>
      <c r="C5" s="2" t="n"/>
      <c r="D5" s="2" t="n"/>
    </row>
    <row r="6">
      <c r="A6" s="2" t="n"/>
      <c r="B6" s="2" t="n"/>
      <c r="C6" s="2" t="n"/>
      <c r="D6" s="2" t="n"/>
    </row>
    <row r="7" ht="30" customHeight="1">
      <c r="A7" s="5" t="inlineStr">
        <is>
          <t>Section</t>
        </is>
      </c>
      <c r="B7" s="5" t="inlineStr">
        <is>
          <t>What it controls</t>
        </is>
      </c>
      <c r="C7" s="5" t="inlineStr">
        <is>
          <t>How the AI should use it</t>
        </is>
      </c>
      <c r="D7" s="5" t="inlineStr">
        <is>
          <t>Owner / Status</t>
        </is>
      </c>
    </row>
    <row r="8">
      <c r="A8" s="6" t="inlineStr">
        <is>
          <t>01_EXEC_SUMMARY</t>
        </is>
      </c>
      <c r="B8" s="4" t="inlineStr">
        <is>
          <t>Product vision, goals, non-goals, success definition</t>
        </is>
      </c>
      <c r="C8" s="4" t="inlineStr">
        <is>
          <t>Read first. Treat non-goals as hard constraints.</t>
        </is>
      </c>
      <c r="D8" s="4" t="inlineStr">
        <is>
          <t>Product Owner</t>
        </is>
      </c>
    </row>
    <row r="9">
      <c r="A9" s="6" t="inlineStr">
        <is>
          <t>02_SCOPE</t>
        </is>
      </c>
      <c r="B9" s="4" t="inlineStr">
        <is>
          <t>MVP features and exclusions</t>
        </is>
      </c>
      <c r="C9" s="4" t="inlineStr">
        <is>
          <t>Only build rows marked IN. Anything OUT requires PRD change.</t>
        </is>
      </c>
      <c r="D9" s="4" t="inlineStr">
        <is>
          <t>Product Owner</t>
        </is>
      </c>
    </row>
    <row r="10">
      <c r="A10" s="6" t="inlineStr">
        <is>
          <t>03_ARCHITECTURE</t>
        </is>
      </c>
      <c r="B10" s="4" t="inlineStr">
        <is>
          <t>System design, boundaries, stack, request/data flow</t>
        </is>
      </c>
      <c r="C10" s="4" t="inlineStr">
        <is>
          <t>Follow as the default architecture. Do not add new services without approval.</t>
        </is>
      </c>
      <c r="D10" s="4" t="inlineStr">
        <is>
          <t>Tech Lead</t>
        </is>
      </c>
    </row>
    <row r="11">
      <c r="A11" s="6" t="inlineStr">
        <is>
          <t>04_ROUTES</t>
        </is>
      </c>
      <c r="B11" s="4" t="inlineStr">
        <is>
          <t>Storefront/account/admin route map</t>
        </is>
      </c>
      <c r="C11" s="4" t="inlineStr">
        <is>
          <t>Implement only listed routes for MVP.</t>
        </is>
      </c>
      <c r="D11" s="4" t="inlineStr">
        <is>
          <t>Frontend</t>
        </is>
      </c>
    </row>
    <row r="12">
      <c r="A12" s="6" t="inlineStr">
        <is>
          <t>05_DATA_MODEL</t>
        </is>
      </c>
      <c r="B12" s="4" t="inlineStr">
        <is>
          <t>Entities, key fields, relationships, ownership</t>
        </is>
      </c>
      <c r="C12" s="4" t="inlineStr">
        <is>
          <t>Create migrations to match. Do not add tables casually.</t>
        </is>
      </c>
      <c r="D12" s="4" t="inlineStr">
        <is>
          <t>Backend</t>
        </is>
      </c>
    </row>
    <row r="13">
      <c r="A13" s="6" t="inlineStr">
        <is>
          <t>06_RLS_AUTH</t>
        </is>
      </c>
      <c r="B13" s="4" t="inlineStr">
        <is>
          <t>Roles, permissions, RLS and server auth rules</t>
        </is>
      </c>
      <c r="C13" s="4" t="inlineStr">
        <is>
          <t>Mandatory security gate. UI hiding is never authorization.</t>
        </is>
      </c>
      <c r="D13" s="4" t="inlineStr">
        <is>
          <t>Backend/Security</t>
        </is>
      </c>
    </row>
    <row r="14">
      <c r="A14" s="6" t="inlineStr">
        <is>
          <t>07_ROADMAP</t>
        </is>
      </c>
      <c r="B14" s="4" t="inlineStr">
        <is>
          <t>Milestones, order, dependencies, acceptance criteria</t>
        </is>
      </c>
      <c r="C14" s="4" t="inlineStr">
        <is>
          <t>Work top-to-bottom; one milestone at a time.</t>
        </is>
      </c>
      <c r="D14" s="4" t="inlineStr">
        <is>
          <t>Engineering</t>
        </is>
      </c>
    </row>
    <row r="15">
      <c r="A15" s="6" t="inlineStr">
        <is>
          <t>08_USER_STORIES</t>
        </is>
      </c>
      <c r="B15" s="4" t="inlineStr">
        <is>
          <t>Behavioral requirements and acceptance criteria</t>
        </is>
      </c>
      <c r="C15" s="4" t="inlineStr">
        <is>
          <t>Implement exactly; use criteria for verification.</t>
        </is>
      </c>
      <c r="D15" s="4" t="inlineStr">
        <is>
          <t>Engineering/QA</t>
        </is>
      </c>
    </row>
    <row r="16">
      <c r="A16" s="6" t="inlineStr">
        <is>
          <t>09_COMPONENTS</t>
        </is>
      </c>
      <c r="B16" s="4" t="inlineStr">
        <is>
          <t>Reusable UI building blocks</t>
        </is>
      </c>
      <c r="C16" s="4" t="inlineStr">
        <is>
          <t>Reuse before creating new one-off components.</t>
        </is>
      </c>
      <c r="D16" s="4" t="inlineStr">
        <is>
          <t>Frontend</t>
        </is>
      </c>
    </row>
    <row r="17">
      <c r="A17" s="6" t="inlineStr">
        <is>
          <t>10_ENV_INTEGRATIONS</t>
        </is>
      </c>
      <c r="B17" s="4" t="inlineStr">
        <is>
          <t>Env vars and third-party boundaries</t>
        </is>
      </c>
      <c r="C17" s="4" t="inlineStr">
        <is>
          <t>Never expose server secrets; use placeholders in .env.example.</t>
        </is>
      </c>
      <c r="D17" s="4" t="inlineStr">
        <is>
          <t>Tech Lead</t>
        </is>
      </c>
    </row>
    <row r="18">
      <c r="A18" s="6" t="inlineStr">
        <is>
          <t>11_TEST_MATRIX</t>
        </is>
      </c>
      <c r="B18" s="4" t="inlineStr">
        <is>
          <t>Critical paths, failure cases, abuse cases</t>
        </is>
      </c>
      <c r="C18" s="4" t="inlineStr">
        <is>
          <t>Must pass before launch.</t>
        </is>
      </c>
      <c r="D18" s="4" t="inlineStr">
        <is>
          <t>QA</t>
        </is>
      </c>
    </row>
    <row r="19">
      <c r="A19" s="6" t="inlineStr">
        <is>
          <t>12_AI_GUARDRAILS</t>
        </is>
      </c>
      <c r="B19" s="4" t="inlineStr">
        <is>
          <t>Explicit do/do-not rules for vibe coding</t>
        </is>
      </c>
      <c r="C19" s="4" t="inlineStr">
        <is>
          <t>These override model preferences.</t>
        </is>
      </c>
      <c r="D19" s="4" t="inlineStr">
        <is>
          <t>AI Agent</t>
        </is>
      </c>
    </row>
    <row r="20">
      <c r="A20" s="6" t="inlineStr">
        <is>
          <t>13_MASTER_PROMPT</t>
        </is>
      </c>
      <c r="B20" s="4" t="inlineStr">
        <is>
          <t>Copy/paste operating prompt for coding agent</t>
        </is>
      </c>
      <c r="C20" s="4" t="inlineStr">
        <is>
          <t>Use at the start of the project/session.</t>
        </is>
      </c>
      <c r="D20" s="4" t="inlineStr">
        <is>
          <t>Product Owner</t>
        </is>
      </c>
    </row>
    <row r="21">
      <c r="A21" s="6" t="inlineStr">
        <is>
          <t>14_DECISION_LOG</t>
        </is>
      </c>
      <c r="B21" s="4" t="inlineStr">
        <is>
          <t>Architecture/product changes and rationale</t>
        </is>
      </c>
      <c r="C21" s="4" t="inlineStr">
        <is>
          <t>Any deviation from PRD gets recorded here first.</t>
        </is>
      </c>
      <c r="D21" s="4" t="inlineStr">
        <is>
          <t>Team</t>
        </is>
      </c>
    </row>
  </sheetData>
  <autoFilter ref="A7:D21"/>
  <mergeCells count="1">
    <mergeCell ref="A1:D1"/>
  </mergeCells>
  <pageMargins left="0.75" right="0.75" top="1" bottom="1" header="0.5" footer="0.5"/>
</worksheet>
</file>

<file path=xl/worksheets/sheet2.xml><?xml version="1.0" encoding="utf-8"?>
<worksheet xmlns="http://schemas.openxmlformats.org/spreadsheetml/2006/main">
  <sheetPr>
    <tabColor rgb="000F766E"/>
    <outlinePr summaryBelow="1" summaryRight="1"/>
    <pageSetUpPr/>
  </sheetPr>
  <dimension ref="A1:E12"/>
  <sheetViews>
    <sheetView showGridLines="0" workbookViewId="0">
      <pane ySplit="7" topLeftCell="A8" activePane="bottomLeft" state="frozen"/>
      <selection pane="bottomLeft" activeCell="A1" sqref="A1"/>
    </sheetView>
  </sheetViews>
  <sheetFormatPr baseColWidth="8" defaultRowHeight="15"/>
  <cols>
    <col width="28" customWidth="1" min="1" max="1"/>
    <col width="18" customWidth="1" min="2" max="2"/>
    <col width="18" customWidth="1" min="3" max="3"/>
    <col width="18" customWidth="1" min="4" max="4"/>
    <col width="18" customWidth="1" min="5" max="5"/>
  </cols>
  <sheetData>
    <row r="1" ht="28" customHeight="1">
      <c r="A1" s="1" t="inlineStr">
        <is>
          <t>Roadmap Dashboard</t>
        </is>
      </c>
      <c r="B1" s="2" t="n"/>
      <c r="C1" s="2" t="n"/>
      <c r="D1" s="2" t="n"/>
      <c r="E1" s="2" t="n"/>
    </row>
    <row r="2">
      <c r="A2" s="2" t="n"/>
      <c r="B2" s="2" t="n"/>
      <c r="C2" s="2" t="n"/>
      <c r="D2" s="2" t="n"/>
      <c r="E2" s="2" t="n"/>
    </row>
    <row r="3">
      <c r="A3" s="7" t="inlineStr">
        <is>
          <t>Roadmap KPIs</t>
        </is>
      </c>
      <c r="B3" s="2" t="n"/>
      <c r="C3" s="2" t="n"/>
      <c r="D3" s="2" t="n"/>
      <c r="E3" s="2" t="n"/>
    </row>
    <row r="4">
      <c r="A4" s="2" t="n"/>
      <c r="B4" s="2" t="n"/>
      <c r="C4" s="2" t="n"/>
      <c r="D4" s="2" t="n"/>
      <c r="E4" s="2" t="n"/>
    </row>
    <row r="5" ht="30" customHeight="1">
      <c r="A5" s="5" t="inlineStr">
        <is>
          <t>Metric</t>
        </is>
      </c>
      <c r="B5" s="5" t="inlineStr">
        <is>
          <t>Value</t>
        </is>
      </c>
      <c r="C5" s="5" t="inlineStr">
        <is>
          <t>Notes</t>
        </is>
      </c>
      <c r="D5" s="5" t="inlineStr">
        <is>
          <t>Status</t>
        </is>
      </c>
      <c r="E5" s="5" t="inlineStr">
        <is>
          <t>Count</t>
        </is>
      </c>
    </row>
    <row r="6">
      <c r="A6" s="4" t="inlineStr">
        <is>
          <t>Total milestones</t>
        </is>
      </c>
      <c r="B6" s="8">
        <f>COUNTA('07_ROADMAP'!A4:A100)</f>
        <v>17</v>
      </c>
      <c r="C6" s="2" t="n"/>
      <c r="D6" s="4" t="inlineStr">
        <is>
          <t>Done</t>
        </is>
      </c>
      <c r="E6" s="8">
        <f>B7</f>
        <v>6</v>
      </c>
    </row>
    <row r="7">
      <c r="A7" s="4" t="inlineStr">
        <is>
          <t>Done</t>
        </is>
      </c>
      <c r="B7" s="8">
        <f>COUNTIF('07_ROADMAP'!E4:E100,"Done")</f>
        <v>6</v>
      </c>
      <c r="C7" s="2" t="n"/>
      <c r="D7" s="4" t="inlineStr">
        <is>
          <t>In Progress</t>
        </is>
      </c>
      <c r="E7" s="8">
        <f>B8</f>
        <v>5</v>
      </c>
    </row>
    <row r="8">
      <c r="A8" s="4" t="inlineStr">
        <is>
          <t>In Progress</t>
        </is>
      </c>
      <c r="B8" s="8">
        <f>COUNTIF('07_ROADMAP'!E4:E100,"In Progress")</f>
        <v>5</v>
      </c>
      <c r="C8" s="2" t="n"/>
      <c r="D8" s="4" t="inlineStr">
        <is>
          <t>Blocked</t>
        </is>
      </c>
      <c r="E8" s="8">
        <f>B9</f>
        <v>0</v>
      </c>
    </row>
    <row r="9">
      <c r="A9" s="4" t="inlineStr">
        <is>
          <t>Blocked</t>
        </is>
      </c>
      <c r="B9" s="8">
        <f>COUNTIF('07_ROADMAP'!E4:E100,"Blocked")</f>
        <v>0</v>
      </c>
      <c r="C9" s="2" t="n"/>
      <c r="D9" s="4" t="inlineStr">
        <is>
          <t>Not Started</t>
        </is>
      </c>
      <c r="E9" s="8">
        <f>B6-B7-B8-B9</f>
        <v>6</v>
      </c>
    </row>
    <row r="10">
      <c r="A10" s="4" t="inlineStr">
        <is>
          <t>Completion %</t>
        </is>
      </c>
      <c r="B10" s="9">
        <f>IFERROR(B7/B6,0)</f>
        <v>0.35294117647058826</v>
      </c>
      <c r="C10" s="2" t="n"/>
      <c r="D10" s="2" t="n"/>
      <c r="E10" s="2" t="n"/>
    </row>
    <row r="11">
      <c r="A11" s="2" t="n"/>
      <c r="B11" s="2" t="n"/>
      <c r="C11" s="2" t="n"/>
      <c r="D11" s="2" t="n"/>
      <c r="E11" s="2" t="n"/>
    </row>
    <row r="12">
      <c r="A12" s="4" t="inlineStr">
        <is>
          <t>Instruction</t>
        </is>
      </c>
      <c r="B12" s="4" t="inlineStr">
        <is>
          <t>Update the Status column in 07_ROADMAP only. This dashboard summarizes progress.</t>
        </is>
      </c>
      <c r="C12" s="2" t="n"/>
      <c r="D12" s="2" t="n"/>
      <c r="E12" s="2" t="n"/>
    </row>
  </sheetData>
  <mergeCells count="1">
    <mergeCell ref="A1:E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F59E0B"/>
    <outlinePr summaryBelow="1" summaryRight="1"/>
    <pageSetUpPr/>
  </sheetPr>
  <dimension ref="A1:C11"/>
  <sheetViews>
    <sheetView showGridLines="0" workbookViewId="0">
      <pane ySplit="5" topLeftCell="A6" activePane="bottomLeft" state="frozen"/>
      <selection pane="bottomLeft" activeCell="A1" sqref="A1"/>
    </sheetView>
  </sheetViews>
  <sheetFormatPr baseColWidth="8" defaultRowHeight="15"/>
  <cols>
    <col width="24" customWidth="1" min="1" max="1"/>
    <col width="48" customWidth="1" min="2" max="2"/>
    <col width="78" customWidth="1" min="3" max="3"/>
  </cols>
  <sheetData>
    <row r="1" ht="28" customHeight="1">
      <c r="A1" s="1" t="inlineStr">
        <is>
          <t>Executive Product Summary</t>
        </is>
      </c>
      <c r="B1" s="2" t="n"/>
      <c r="C1" s="2" t="n"/>
    </row>
    <row r="2">
      <c r="A2" s="2" t="n"/>
      <c r="B2" s="2" t="n"/>
      <c r="C2" s="2" t="n"/>
    </row>
    <row r="3" ht="30" customHeight="1">
      <c r="A3" s="5" t="inlineStr">
        <is>
          <t>Item</t>
        </is>
      </c>
      <c r="B3" s="5" t="inlineStr">
        <is>
          <t>Decision</t>
        </is>
      </c>
      <c r="C3" s="5" t="inlineStr">
        <is>
          <t>Notes / Constraint</t>
        </is>
      </c>
    </row>
    <row r="4">
      <c r="A4" s="4" t="inlineStr">
        <is>
          <t>Product</t>
        </is>
      </c>
      <c r="B4" s="4" t="inlineStr">
        <is>
          <t>Modern single-store e-commerce web application</t>
        </is>
      </c>
      <c r="C4" s="4" t="inlineStr">
        <is>
          <t>MVP optimized for reliable catalog → cart → checkout → order flow.</t>
        </is>
      </c>
    </row>
    <row r="5">
      <c r="A5" s="4" t="inlineStr">
        <is>
          <t>Primary users</t>
        </is>
      </c>
      <c r="B5" s="4" t="inlineStr">
        <is>
          <t>Guest shoppers, registered customers, administrators</t>
        </is>
      </c>
      <c r="C5" s="4" t="inlineStr">
        <is>
          <t>Customer/admin experiences are distinct.</t>
        </is>
      </c>
    </row>
    <row r="6">
      <c r="A6" s="4" t="inlineStr">
        <is>
          <t>Primary goal</t>
        </is>
      </c>
      <c r="B6" s="4" t="inlineStr">
        <is>
          <t>Allow users to discover products, purchase securely, and manage orders</t>
        </is>
      </c>
      <c r="C6" s="4" t="inlineStr">
        <is>
          <t>Transactions and data correctness take priority over novelty.</t>
        </is>
      </c>
    </row>
    <row r="7">
      <c r="A7" s="4" t="inlineStr">
        <is>
          <t>Business model</t>
        </is>
      </c>
      <c r="B7" s="4" t="inlineStr">
        <is>
          <t>Direct-to-consumer single merchant</t>
        </is>
      </c>
      <c r="C7" s="4" t="inlineStr">
        <is>
          <t>No marketplace/multi-vendor behavior in MVP.</t>
        </is>
      </c>
    </row>
    <row r="8">
      <c r="A8" s="4" t="inlineStr">
        <is>
          <t>MVP success</t>
        </is>
      </c>
      <c r="B8" s="4" t="inlineStr">
        <is>
          <t>A shopper can browse, choose a variant, add to cart, pay, receive confirmation, and see the order in account; admin can manage products/orders/inventory</t>
        </is>
      </c>
      <c r="C8" s="4" t="inlineStr">
        <is>
          <t>Must work for mobile and desktop.</t>
        </is>
      </c>
    </row>
    <row r="9">
      <c r="A9" s="4" t="inlineStr">
        <is>
          <t>Non-goals</t>
        </is>
      </c>
      <c r="B9" s="4" t="inlineStr">
        <is>
          <t>Reviews, wishlists, loyalty, subscriptions, recommendations, multi-currency, multi-vendor, native mobile apps, microservices, Kafka, Kubernetes</t>
        </is>
      </c>
      <c r="C9" s="4" t="inlineStr">
        <is>
          <t>Do not implement unless moved into scope.</t>
        </is>
      </c>
    </row>
    <row r="10">
      <c r="A10" s="4" t="inlineStr">
        <is>
          <t>Architecture principle</t>
        </is>
      </c>
      <c r="B10" s="4" t="inlineStr">
        <is>
          <t>Boring, secure, maintainable monolith-first architecture</t>
        </is>
      </c>
      <c r="C10" s="4" t="inlineStr">
        <is>
          <t>One Next.js repo; Supabase and PayMongo are managed dependencies.</t>
        </is>
      </c>
    </row>
    <row r="11">
      <c r="A11" s="4" t="inlineStr">
        <is>
          <t>AI principle</t>
        </is>
      </c>
      <c r="B11" s="4" t="inlineStr">
        <is>
          <t>AI implements the PRD; AI does not redefine the product</t>
        </is>
      </c>
      <c r="C11" s="4" t="inlineStr">
        <is>
          <t>When ambiguous, choose the smallest implementation consistent with the PRD.</t>
        </is>
      </c>
    </row>
  </sheetData>
  <autoFilter ref="A3:C11"/>
  <mergeCells count="1">
    <mergeCell ref="A1:C1"/>
  </mergeCells>
  <pageMargins left="0.75" right="0.75" top="1" bottom="1" header="0.5" footer="0.5"/>
</worksheet>
</file>

<file path=xl/worksheets/sheet4.xml><?xml version="1.0" encoding="utf-8"?>
<worksheet xmlns="http://schemas.openxmlformats.org/spreadsheetml/2006/main">
  <sheetPr>
    <tabColor rgb="007C3AED"/>
    <outlinePr summaryBelow="1" summaryRight="1"/>
    <pageSetUpPr/>
  </sheetPr>
  <dimension ref="A1:E32"/>
  <sheetViews>
    <sheetView showGridLines="0" workbookViewId="0">
      <pane ySplit="3" topLeftCell="A4" activePane="bottomLeft" state="frozen"/>
      <selection pane="bottomLeft" activeCell="A1" sqref="A1"/>
    </sheetView>
  </sheetViews>
  <sheetFormatPr baseColWidth="8" defaultRowHeight="15"/>
  <cols>
    <col width="18" customWidth="1" min="1" max="1"/>
    <col width="28" customWidth="1" min="2" max="2"/>
    <col width="54" customWidth="1" min="3" max="3"/>
    <col width="16" customWidth="1" min="4" max="4"/>
    <col width="54" customWidth="1" min="5" max="5"/>
  </cols>
  <sheetData>
    <row r="1" ht="28" customHeight="1">
      <c r="A1" s="1" t="inlineStr">
        <is>
          <t>MVP Scope Control</t>
        </is>
      </c>
      <c r="B1" s="2" t="n"/>
      <c r="C1" s="2" t="n"/>
      <c r="D1" s="2" t="n"/>
      <c r="E1" s="2" t="n"/>
    </row>
    <row r="2">
      <c r="A2" s="2" t="n"/>
      <c r="B2" s="2" t="n"/>
      <c r="C2" s="2" t="n"/>
      <c r="D2" s="2" t="n"/>
      <c r="E2" s="2" t="n"/>
    </row>
    <row r="3" ht="30" customHeight="1">
      <c r="A3" s="5" t="inlineStr">
        <is>
          <t>Area</t>
        </is>
      </c>
      <c r="B3" s="5" t="inlineStr">
        <is>
          <t>Feature</t>
        </is>
      </c>
      <c r="C3" s="5" t="inlineStr">
        <is>
          <t>Requirement</t>
        </is>
      </c>
      <c r="D3" s="5" t="inlineStr">
        <is>
          <t>Scope</t>
        </is>
      </c>
      <c r="E3" s="5" t="inlineStr">
        <is>
          <t>Notes / Boundary</t>
        </is>
      </c>
    </row>
    <row r="4">
      <c r="A4" s="4" t="inlineStr">
        <is>
          <t>Catalog</t>
        </is>
      </c>
      <c r="B4" s="4" t="inlineStr">
        <is>
          <t>Product listing</t>
        </is>
      </c>
      <c r="C4" s="4" t="inlineStr">
        <is>
          <t>Browse active products with image, title, price, availability</t>
        </is>
      </c>
      <c r="D4" s="10" t="inlineStr">
        <is>
          <t>IN</t>
        </is>
      </c>
      <c r="E4" s="4" t="inlineStr">
        <is>
          <t>Pagination or simple server pagination; no infinite-scroll requirement.</t>
        </is>
      </c>
    </row>
    <row r="5">
      <c r="A5" s="4" t="inlineStr">
        <is>
          <t>Catalog</t>
        </is>
      </c>
      <c r="B5" s="4" t="inlineStr">
        <is>
          <t>Categories</t>
        </is>
      </c>
      <c r="C5" s="4" t="inlineStr">
        <is>
          <t>Browse products by category/collection</t>
        </is>
      </c>
      <c r="D5" s="10" t="inlineStr">
        <is>
          <t>IN</t>
        </is>
      </c>
      <c r="E5" s="4" t="inlineStr">
        <is>
          <t>Single-level or simple hierarchical structure only if needed.</t>
        </is>
      </c>
    </row>
    <row r="6">
      <c r="A6" s="4" t="inlineStr">
        <is>
          <t>Catalog</t>
        </is>
      </c>
      <c r="B6" s="4" t="inlineStr">
        <is>
          <t>Product detail</t>
        </is>
      </c>
      <c r="C6" s="4" t="inlineStr">
        <is>
          <t>Gallery, description, price, variant selection, stock state</t>
        </is>
      </c>
      <c r="D6" s="10" t="inlineStr">
        <is>
          <t>IN</t>
        </is>
      </c>
      <c r="E6" s="4" t="inlineStr">
        <is>
          <t>No reviews/recommendation engine.</t>
        </is>
      </c>
    </row>
    <row r="7">
      <c r="A7" s="4" t="inlineStr">
        <is>
          <t>Discovery</t>
        </is>
      </c>
      <c r="B7" s="4" t="inlineStr">
        <is>
          <t>Search</t>
        </is>
      </c>
      <c r="C7" s="4" t="inlineStr">
        <is>
          <t>Basic product search</t>
        </is>
      </c>
      <c r="D7" s="10" t="inlineStr">
        <is>
          <t>IN</t>
        </is>
      </c>
      <c r="E7" s="4" t="inlineStr">
        <is>
          <t>Simple database-backed search is sufficient for MVP.</t>
        </is>
      </c>
    </row>
    <row r="8">
      <c r="A8" s="4" t="inlineStr">
        <is>
          <t>Discovery</t>
        </is>
      </c>
      <c r="B8" s="4" t="inlineStr">
        <is>
          <t>Filters</t>
        </is>
      </c>
      <c r="C8" s="4" t="inlineStr">
        <is>
          <t>Category, availability, optional price range</t>
        </is>
      </c>
      <c r="D8" s="10" t="inlineStr">
        <is>
          <t>IN</t>
        </is>
      </c>
      <c r="E8" s="4" t="inlineStr">
        <is>
          <t>Avoid building faceted-search infrastructure.</t>
        </is>
      </c>
    </row>
    <row r="9" ht="65" customHeight="1">
      <c r="A9" s="4" t="inlineStr">
        <is>
          <t>Cart</t>
        </is>
      </c>
      <c r="B9" s="4" t="inlineStr">
        <is>
          <t>Add/update/remove</t>
        </is>
      </c>
      <c r="C9" s="4" t="inlineStr">
        <is>
          <t>Variant-aware cart with quantity validation</t>
        </is>
      </c>
      <c r="D9" s="10" t="inlineStr">
        <is>
          <t>IN</t>
        </is>
      </c>
      <c r="E9" s="4" t="inlineStr">
        <is>
          <t>Server rejects noninteger/nonpositive or above-stock quantities and inactive variants. Prices, line totals and subtotal use current database values.</t>
        </is>
      </c>
    </row>
    <row r="10" ht="85" customHeight="1">
      <c r="A10" s="4" t="inlineStr">
        <is>
          <t>Cart</t>
        </is>
      </c>
      <c r="B10" s="4" t="inlineStr">
        <is>
          <t>Persistence</t>
        </is>
      </c>
      <c r="C10" s="4" t="inlineStr">
        <is>
          <t>Persist cart across refresh/session</t>
        </is>
      </c>
      <c r="D10" s="10" t="inlineStr">
        <is>
          <t>IN</t>
        </is>
      </c>
      <c r="E10" s="4" t="inlineStr">
        <is>
          <t>Guest: random 256-bit secret in a 30-day HttpOnly, SameSite=Lax cookie; Secure on HTTPS; SHA-256 hash only in storage. Account carts persist separately; no automatic merge.</t>
        </is>
      </c>
    </row>
    <row r="11" ht="115" customHeight="1">
      <c r="A11" s="4" t="inlineStr">
        <is>
          <t>Checkout</t>
        </is>
      </c>
      <c r="B11" s="4" t="inlineStr">
        <is>
          <t>Address</t>
        </is>
      </c>
      <c r="C11" s="4" t="inlineStr">
        <is>
          <t>Philippines shipping/billing address; save and reuse account addresses at checkout. Guest address remains transient.</t>
        </is>
      </c>
      <c r="D11" s="10" t="inlineStr">
        <is>
          <t>IN</t>
        </is>
      </c>
      <c r="E11" s="4" t="inlineStr">
        <is>
          <t>M07-P01 approved: PHP; tax included. M08-P01 (2026-09-25): online payment charges the merchandise total after discounts; the customer pays the third-party courier's shipping fee directly on delivery. No carrier integration.</t>
        </is>
      </c>
    </row>
    <row r="12">
      <c r="A12" s="4" t="inlineStr">
        <is>
          <t>Checkout</t>
        </is>
      </c>
      <c r="B12" s="4" t="inlineStr">
        <is>
          <t>Payments</t>
        </is>
      </c>
      <c r="C12" s="4" t="inlineStr">
        <is>
          <t>PayMongo hosted checkout payment flow</t>
        </is>
      </c>
      <c r="D12" s="10" t="inlineStr">
        <is>
          <t>IN</t>
        </is>
      </c>
      <c r="E12" s="4" t="inlineStr">
        <is>
          <t>Server creates payment/checkout object; webhook is authoritative.</t>
        </is>
      </c>
    </row>
    <row r="13" ht="100" customHeight="1">
      <c r="A13" s="4" t="inlineStr">
        <is>
          <t>Checkout</t>
        </is>
      </c>
      <c r="B13" s="4" t="inlineStr">
        <is>
          <t>Discount codes</t>
        </is>
      </c>
      <c r="C13" s="4" t="inlineStr">
        <is>
          <t>One fixed-PHP or percentage coupon, validated server-side against active dates and global usage limit.</t>
        </is>
      </c>
      <c r="D13" s="10" t="inlineStr">
        <is>
          <t>IN</t>
        </is>
      </c>
      <c r="E13" s="4" t="inlineStr">
        <is>
          <t>Cap at merchandise subtotal; percentage discount rounds half-up to centavos. Trim codes; case-sensitive. Quotes consume no use.</t>
        </is>
      </c>
    </row>
    <row r="14">
      <c r="A14" s="4" t="inlineStr">
        <is>
          <t>Orders</t>
        </is>
      </c>
      <c r="B14" s="4" t="inlineStr">
        <is>
          <t>Creation/status</t>
        </is>
      </c>
      <c r="C14" s="4" t="inlineStr">
        <is>
          <t>Create order from verified payment and track status</t>
        </is>
      </c>
      <c r="D14" s="10" t="inlineStr">
        <is>
          <t>IN</t>
        </is>
      </c>
      <c r="E14" s="4" t="inlineStr">
        <is>
          <t>Idempotent webhook processing required.</t>
        </is>
      </c>
    </row>
    <row r="15">
      <c r="A15" s="4" t="inlineStr">
        <is>
          <t>Orders</t>
        </is>
      </c>
      <c r="B15" s="4" t="inlineStr">
        <is>
          <t>Confirmation email</t>
        </is>
      </c>
      <c r="C15" s="4" t="inlineStr">
        <is>
          <t>Send transactional order confirmation</t>
        </is>
      </c>
      <c r="D15" s="10" t="inlineStr">
        <is>
          <t>IN</t>
        </is>
      </c>
      <c r="E15" s="4" t="inlineStr">
        <is>
          <t>Resend or equivalent.</t>
        </is>
      </c>
    </row>
    <row r="16">
      <c r="A16" s="4" t="inlineStr">
        <is>
          <t>Account</t>
        </is>
      </c>
      <c r="B16" s="4" t="inlineStr">
        <is>
          <t>Auth</t>
        </is>
      </c>
      <c r="C16" s="4" t="inlineStr">
        <is>
          <t>Register/login/logout/reset as supported by Supabase Auth</t>
        </is>
      </c>
      <c r="D16" s="10" t="inlineStr">
        <is>
          <t>IN</t>
        </is>
      </c>
      <c r="E16" s="4" t="inlineStr">
        <is>
          <t>No social login unless explicitly added later.</t>
        </is>
      </c>
    </row>
    <row r="17">
      <c r="A17" s="4" t="inlineStr">
        <is>
          <t>Account</t>
        </is>
      </c>
      <c r="B17" s="4" t="inlineStr">
        <is>
          <t>Order history</t>
        </is>
      </c>
      <c r="C17" s="4" t="inlineStr">
        <is>
          <t>Customer sees only own orders</t>
        </is>
      </c>
      <c r="D17" s="10" t="inlineStr">
        <is>
          <t>IN</t>
        </is>
      </c>
      <c r="E17" s="4" t="inlineStr">
        <is>
          <t>Protected server-side and via RLS.</t>
        </is>
      </c>
    </row>
    <row r="18">
      <c r="A18" s="4" t="inlineStr">
        <is>
          <t>Account</t>
        </is>
      </c>
      <c r="B18" s="4" t="inlineStr">
        <is>
          <t>Addresses</t>
        </is>
      </c>
      <c r="C18" s="4" t="inlineStr">
        <is>
          <t>Basic saved addresses</t>
        </is>
      </c>
      <c r="D18" s="10" t="inlineStr">
        <is>
          <t>IN</t>
        </is>
      </c>
      <c r="E18" s="4" t="inlineStr">
        <is>
          <t>Optional to make reusable at checkout if simple.</t>
        </is>
      </c>
    </row>
    <row r="19">
      <c r="A19" s="4" t="inlineStr">
        <is>
          <t>Admin</t>
        </is>
      </c>
      <c r="B19" s="4" t="inlineStr">
        <is>
          <t>Products</t>
        </is>
      </c>
      <c r="C19" s="4" t="inlineStr">
        <is>
          <t>Create/edit/archive products, variants, images</t>
        </is>
      </c>
      <c r="D19" s="10" t="inlineStr">
        <is>
          <t>IN</t>
        </is>
      </c>
      <c r="E19" s="4" t="inlineStr">
        <is>
          <t>Archive rather than destructive delete by default.</t>
        </is>
      </c>
    </row>
    <row r="20">
      <c r="A20" s="4" t="inlineStr">
        <is>
          <t>Admin</t>
        </is>
      </c>
      <c r="B20" s="4" t="inlineStr">
        <is>
          <t>Inventory</t>
        </is>
      </c>
      <c r="C20" s="4" t="inlineStr">
        <is>
          <t>Adjust variant stock</t>
        </is>
      </c>
      <c r="D20" s="10" t="inlineStr">
        <is>
          <t>IN</t>
        </is>
      </c>
      <c r="E20" s="4" t="inlineStr">
        <is>
          <t>Variant-level inventory.</t>
        </is>
      </c>
    </row>
    <row r="21">
      <c r="A21" s="4" t="inlineStr">
        <is>
          <t>Admin</t>
        </is>
      </c>
      <c r="B21" s="4" t="inlineStr">
        <is>
          <t>Orders</t>
        </is>
      </c>
      <c r="C21" s="4" t="inlineStr">
        <is>
          <t>View and update fulfillment status</t>
        </is>
      </c>
      <c r="D21" s="10" t="inlineStr">
        <is>
          <t>IN</t>
        </is>
      </c>
      <c r="E21" s="4" t="inlineStr">
        <is>
          <t>Payment state cannot be faked by UI.</t>
        </is>
      </c>
    </row>
    <row r="22">
      <c r="A22" s="4" t="inlineStr">
        <is>
          <t>Admin</t>
        </is>
      </c>
      <c r="B22" s="4" t="inlineStr">
        <is>
          <t>Categories</t>
        </is>
      </c>
      <c r="C22" s="4" t="inlineStr">
        <is>
          <t>Manage categories</t>
        </is>
      </c>
      <c r="D22" s="10" t="inlineStr">
        <is>
          <t>IN</t>
        </is>
      </c>
      <c r="E22" s="4" t="inlineStr">
        <is>
          <t>Keep CRUD simple.</t>
        </is>
      </c>
    </row>
    <row r="23">
      <c r="A23" s="4" t="inlineStr">
        <is>
          <t>Observability</t>
        </is>
      </c>
      <c r="B23" s="4" t="inlineStr">
        <is>
          <t>Error monitoring</t>
        </is>
      </c>
      <c r="C23" s="4" t="inlineStr">
        <is>
          <t>Capture production errors</t>
        </is>
      </c>
      <c r="D23" s="10" t="inlineStr">
        <is>
          <t>IN</t>
        </is>
      </c>
      <c r="E23" s="4" t="inlineStr">
        <is>
          <t>Sentry or equivalent.</t>
        </is>
      </c>
    </row>
    <row r="24">
      <c r="A24" s="4" t="inlineStr">
        <is>
          <t>SEO</t>
        </is>
      </c>
      <c r="B24" s="4" t="inlineStr">
        <is>
          <t>Core metadata</t>
        </is>
      </c>
      <c r="C24" s="4" t="inlineStr">
        <is>
          <t>Title/description/canonical/OpenGraph basics</t>
        </is>
      </c>
      <c r="D24" s="10" t="inlineStr">
        <is>
          <t>IN</t>
        </is>
      </c>
      <c r="E24" s="4" t="inlineStr">
        <is>
          <t>No advanced SEO automation.</t>
        </is>
      </c>
    </row>
    <row r="25">
      <c r="A25" s="4" t="inlineStr">
        <is>
          <t>Feature</t>
        </is>
      </c>
      <c r="B25" s="4" t="inlineStr">
        <is>
          <t>Reviews</t>
        </is>
      </c>
      <c r="C25" s="4" t="inlineStr">
        <is>
          <t>Product ratings/reviews</t>
        </is>
      </c>
      <c r="D25" s="10" t="inlineStr">
        <is>
          <t>OUT</t>
        </is>
      </c>
      <c r="E25" s="4" t="inlineStr">
        <is>
          <t>Future.</t>
        </is>
      </c>
    </row>
    <row r="26">
      <c r="A26" s="4" t="inlineStr">
        <is>
          <t>Feature</t>
        </is>
      </c>
      <c r="B26" s="4" t="inlineStr">
        <is>
          <t>Wishlist</t>
        </is>
      </c>
      <c r="C26" s="4" t="inlineStr">
        <is>
          <t>Save products</t>
        </is>
      </c>
      <c r="D26" s="10" t="inlineStr">
        <is>
          <t>OUT</t>
        </is>
      </c>
      <c r="E26" s="4" t="inlineStr">
        <is>
          <t>Future.</t>
        </is>
      </c>
    </row>
    <row r="27">
      <c r="A27" s="4" t="inlineStr">
        <is>
          <t>Feature</t>
        </is>
      </c>
      <c r="B27" s="4" t="inlineStr">
        <is>
          <t>Recommendations</t>
        </is>
      </c>
      <c r="C27" s="4" t="inlineStr">
        <is>
          <t>Personalization/related product engine</t>
        </is>
      </c>
      <c r="D27" s="10" t="inlineStr">
        <is>
          <t>OUT</t>
        </is>
      </c>
      <c r="E27" s="4" t="inlineStr">
        <is>
          <t>Future.</t>
        </is>
      </c>
    </row>
    <row r="28">
      <c r="A28" s="4" t="inlineStr">
        <is>
          <t>Feature</t>
        </is>
      </c>
      <c r="B28" s="4" t="inlineStr">
        <is>
          <t>Loyalty</t>
        </is>
      </c>
      <c r="C28" s="4" t="inlineStr">
        <is>
          <t>Points/rewards/referrals</t>
        </is>
      </c>
      <c r="D28" s="10" t="inlineStr">
        <is>
          <t>OUT</t>
        </is>
      </c>
      <c r="E28" s="4" t="inlineStr">
        <is>
          <t>Future.</t>
        </is>
      </c>
    </row>
    <row r="29">
      <c r="A29" s="4" t="inlineStr">
        <is>
          <t>Feature</t>
        </is>
      </c>
      <c r="B29" s="4" t="inlineStr">
        <is>
          <t>Subscriptions</t>
        </is>
      </c>
      <c r="C29" s="4" t="inlineStr">
        <is>
          <t>Recurring product subscriptions</t>
        </is>
      </c>
      <c r="D29" s="10" t="inlineStr">
        <is>
          <t>OUT</t>
        </is>
      </c>
      <c r="E29" s="4" t="inlineStr">
        <is>
          <t>Future.</t>
        </is>
      </c>
    </row>
    <row r="30">
      <c r="A30" s="4" t="inlineStr">
        <is>
          <t>Platform</t>
        </is>
      </c>
      <c r="B30" s="4" t="inlineStr">
        <is>
          <t>Marketplace</t>
        </is>
      </c>
      <c r="C30" s="4" t="inlineStr">
        <is>
          <t>Multiple sellers/vendors</t>
        </is>
      </c>
      <c r="D30" s="10" t="inlineStr">
        <is>
          <t>OUT</t>
        </is>
      </c>
      <c r="E30" s="4" t="inlineStr">
        <is>
          <t>Future/major redesign.</t>
        </is>
      </c>
    </row>
    <row r="31">
      <c r="A31" s="4" t="inlineStr">
        <is>
          <t>Platform</t>
        </is>
      </c>
      <c r="B31" s="4" t="inlineStr">
        <is>
          <t>Microservices</t>
        </is>
      </c>
      <c r="C31" s="4" t="inlineStr">
        <is>
          <t>Split backend services</t>
        </is>
      </c>
      <c r="D31" s="10" t="inlineStr">
        <is>
          <t>OUT</t>
        </is>
      </c>
      <c r="E31" s="4" t="inlineStr">
        <is>
          <t>Do not add.</t>
        </is>
      </c>
    </row>
    <row r="32">
      <c r="A32" s="4" t="inlineStr">
        <is>
          <t>Platform</t>
        </is>
      </c>
      <c r="B32" s="4" t="inlineStr">
        <is>
          <t>GraphQL</t>
        </is>
      </c>
      <c r="C32" s="4" t="inlineStr">
        <is>
          <t>GraphQL API layer</t>
        </is>
      </c>
      <c r="D32" s="10" t="inlineStr">
        <is>
          <t>OUT</t>
        </is>
      </c>
      <c r="E32" s="4" t="inlineStr">
        <is>
          <t>Not needed.</t>
        </is>
      </c>
    </row>
  </sheetData>
  <autoFilter ref="A3:E32"/>
  <mergeCells count="1">
    <mergeCell ref="A1:E1"/>
  </mergeCells>
  <conditionalFormatting sqref="D4:D32">
    <cfRule type="expression" priority="1" dxfId="0">
      <formula>D4="OUT"</formula>
    </cfRule>
    <cfRule type="expression" priority="2" dxfId="1">
      <formula>D4="IN"</formula>
    </cfRule>
  </conditionalFormatting>
  <dataValidations count="1">
    <dataValidation sqref="D4:D32" showDropDown="0" showInputMessage="0" showErrorMessage="0" allowBlank="0" type="list">
      <formula1>"IN,OUT,LATER"</formula1>
    </dataValidation>
  </dataValidations>
  <pageMargins left="0.75" right="0.75" top="1" bottom="1" header="0.5" footer="0.5"/>
</worksheet>
</file>

<file path=xl/worksheets/sheet5.xml><?xml version="1.0" encoding="utf-8"?>
<worksheet xmlns="http://schemas.openxmlformats.org/spreadsheetml/2006/main">
  <sheetPr>
    <tabColor rgb="0015803D"/>
    <outlinePr summaryBelow="1" summaryRight="1"/>
    <pageSetUpPr/>
  </sheetPr>
  <dimension ref="A1:D29"/>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62" customWidth="1" min="3" max="3"/>
    <col width="58" customWidth="1" min="4" max="4"/>
  </cols>
  <sheetData>
    <row r="1" ht="28" customHeight="1">
      <c r="A1" s="1" t="inlineStr">
        <is>
          <t>Target Architecture</t>
        </is>
      </c>
      <c r="B1" s="2" t="n"/>
      <c r="C1" s="2" t="n"/>
      <c r="D1" s="2" t="n"/>
    </row>
    <row r="2">
      <c r="A2" s="2" t="n"/>
      <c r="B2" s="2" t="n"/>
      <c r="C2" s="2" t="n"/>
      <c r="D2" s="2" t="n"/>
    </row>
    <row r="3" ht="30" customHeight="1">
      <c r="A3" s="5" t="inlineStr">
        <is>
          <t>Layer</t>
        </is>
      </c>
      <c r="B3" s="5" t="inlineStr">
        <is>
          <t>Technology / Pattern</t>
        </is>
      </c>
      <c r="C3" s="5" t="inlineStr">
        <is>
          <t>Responsibility</t>
        </is>
      </c>
      <c r="D3" s="5" t="inlineStr">
        <is>
          <t>Hard Rule</t>
        </is>
      </c>
    </row>
    <row r="4">
      <c r="A4" s="4" t="inlineStr">
        <is>
          <t>Web app</t>
        </is>
      </c>
      <c r="B4" s="4" t="inlineStr">
        <is>
          <t>Next.js App Router + TypeScript</t>
        </is>
      </c>
      <c r="C4" s="4" t="inlineStr">
        <is>
          <t>Pages, layouts, Server Components, Server Actions/route handlers where appropriate</t>
        </is>
      </c>
      <c r="D4" s="4" t="inlineStr">
        <is>
          <t>Server Components by default; client components only when interactivity/browser APIs require them.</t>
        </is>
      </c>
    </row>
    <row r="5">
      <c r="A5" s="4" t="inlineStr">
        <is>
          <t>UI</t>
        </is>
      </c>
      <c r="B5" s="4" t="inlineStr">
        <is>
          <t>Tailwind CSS + shadcn/ui</t>
        </is>
      </c>
      <c r="C5" s="4" t="inlineStr">
        <is>
          <t>Design system and reusable interface primitives</t>
        </is>
      </c>
      <c r="D5" s="4" t="inlineStr">
        <is>
          <t>Reuse primitives; no parallel styling framework.</t>
        </is>
      </c>
    </row>
    <row r="6">
      <c r="A6" s="4" t="inlineStr">
        <is>
          <t>Validation</t>
        </is>
      </c>
      <c r="B6" s="4" t="inlineStr">
        <is>
          <t>Zod</t>
        </is>
      </c>
      <c r="C6" s="4" t="inlineStr">
        <is>
          <t>Validate user/server inputs and webhook payload assumptions</t>
        </is>
      </c>
      <c r="D6" s="4" t="inlineStr">
        <is>
          <t>Validate at trust boundaries.</t>
        </is>
      </c>
    </row>
    <row r="7">
      <c r="A7" s="4" t="inlineStr">
        <is>
          <t>Forms</t>
        </is>
      </c>
      <c r="B7" s="4" t="inlineStr">
        <is>
          <t>React Hook Form + Zod</t>
        </is>
      </c>
      <c r="C7" s="4" t="inlineStr">
        <is>
          <t>Client-side form UX for complex forms</t>
        </is>
      </c>
      <c r="D7" s="4" t="inlineStr">
        <is>
          <t>Server validates again; client validation is convenience only.</t>
        </is>
      </c>
    </row>
    <row r="8">
      <c r="A8" s="4" t="inlineStr">
        <is>
          <t>Database</t>
        </is>
      </c>
      <c r="B8" s="4" t="inlineStr">
        <is>
          <t>Supabase Postgres</t>
        </is>
      </c>
      <c r="C8" s="4" t="inlineStr">
        <is>
          <t>Products, variants, inventory, carts/orders, addresses, discounts</t>
        </is>
      </c>
      <c r="D8" s="4" t="inlineStr">
        <is>
          <t>Migrations are source of truth. No schema drift.</t>
        </is>
      </c>
    </row>
    <row r="9">
      <c r="A9" s="4" t="inlineStr">
        <is>
          <t>Auth</t>
        </is>
      </c>
      <c r="B9" s="4" t="inlineStr">
        <is>
          <t>Supabase Auth</t>
        </is>
      </c>
      <c r="C9" s="4" t="inlineStr">
        <is>
          <t>Identity and sessions</t>
        </is>
      </c>
      <c r="D9" s="4" t="inlineStr">
        <is>
          <t>Authorization is checked server-side and via RLS.</t>
        </is>
      </c>
    </row>
    <row r="10">
      <c r="A10" s="4" t="inlineStr">
        <is>
          <t>Authorization</t>
        </is>
      </c>
      <c r="B10" s="4" t="inlineStr">
        <is>
          <t>Supabase RLS + server checks</t>
        </is>
      </c>
      <c r="C10" s="4" t="inlineStr">
        <is>
          <t>Data isolation and privilege enforcement</t>
        </is>
      </c>
      <c r="D10" s="4" t="inlineStr">
        <is>
          <t>Never rely only on hidden buttons/routes.</t>
        </is>
      </c>
    </row>
    <row r="11">
      <c r="A11" s="4" t="inlineStr">
        <is>
          <t>Storage</t>
        </is>
      </c>
      <c r="B11" s="4" t="inlineStr">
        <is>
          <t>Supabase Storage</t>
        </is>
      </c>
      <c r="C11" s="4" t="inlineStr">
        <is>
          <t>Product images/media</t>
        </is>
      </c>
      <c r="D11" s="4" t="inlineStr">
        <is>
          <t>Restrict upload type/size; admin-only writes.</t>
        </is>
      </c>
    </row>
    <row r="12">
      <c r="A12" s="4" t="inlineStr">
        <is>
          <t>Payments</t>
        </is>
      </c>
      <c r="B12" s="4" t="inlineStr">
        <is>
          <t>PayMongo</t>
        </is>
      </c>
      <c r="C12" s="4" t="inlineStr">
        <is>
          <t>Payment collection</t>
        </is>
      </c>
      <c r="D12" s="4" t="inlineStr">
        <is>
          <t>Never trust client amount. Server calculates amounts; verified webhook is authoritative.</t>
        </is>
      </c>
    </row>
    <row r="13">
      <c r="A13" s="4" t="inlineStr">
        <is>
          <t>Email</t>
        </is>
      </c>
      <c r="B13" s="4" t="inlineStr">
        <is>
          <t>Resend</t>
        </is>
      </c>
      <c r="C13" s="4" t="inlineStr">
        <is>
          <t>Transactional emails</t>
        </is>
      </c>
      <c r="D13" s="4" t="inlineStr">
        <is>
          <t>Triggered from trusted server events; avoid client-triggered arbitrary sends.</t>
        </is>
      </c>
    </row>
    <row r="14">
      <c r="A14" s="4" t="inlineStr">
        <is>
          <t>Hosting</t>
        </is>
      </c>
      <c r="B14" s="4" t="inlineStr">
        <is>
          <t>Vercel</t>
        </is>
      </c>
      <c r="C14" s="4" t="inlineStr">
        <is>
          <t>Deploy Next.js application</t>
        </is>
      </c>
      <c r="D14" s="4" t="inlineStr">
        <is>
          <t>Use environment separation for preview/production.</t>
        </is>
      </c>
    </row>
    <row r="15">
      <c r="A15" s="4" t="inlineStr">
        <is>
          <t>Monitoring</t>
        </is>
      </c>
      <c r="B15" s="4" t="inlineStr">
        <is>
          <t>Sentry</t>
        </is>
      </c>
      <c r="C15" s="4" t="inlineStr">
        <is>
          <t>Error and exception monitoring</t>
        </is>
      </c>
      <c r="D15" s="4" t="inlineStr">
        <is>
          <t>No secrets/PII in logs.</t>
        </is>
      </c>
    </row>
    <row r="16">
      <c r="A16" s="4" t="inlineStr">
        <is>
          <t>Analytics</t>
        </is>
      </c>
      <c r="B16" s="4" t="inlineStr">
        <is>
          <t>Vercel Analytics or PostHog (optional)</t>
        </is>
      </c>
      <c r="C16" s="4" t="inlineStr">
        <is>
          <t>Basic product analytics</t>
        </is>
      </c>
      <c r="D16" s="4" t="inlineStr">
        <is>
          <t>Do not block MVP on advanced event taxonomy.</t>
        </is>
      </c>
    </row>
    <row r="17">
      <c r="A17" s="4" t="inlineStr">
        <is>
          <t>Repository</t>
        </is>
      </c>
      <c r="B17" s="4" t="inlineStr">
        <is>
          <t>Single repo</t>
        </is>
      </c>
      <c r="C17" s="4" t="inlineStr">
        <is>
          <t>Application + migrations + scripts + tests + docs</t>
        </is>
      </c>
      <c r="D17" s="4" t="inlineStr">
        <is>
          <t>No microservices or extra repositories in MVP.</t>
        </is>
      </c>
    </row>
    <row r="18">
      <c r="A18" s="2" t="n"/>
      <c r="B18" s="2" t="n"/>
      <c r="C18" s="2" t="n"/>
      <c r="D18" s="2" t="n"/>
    </row>
    <row r="19">
      <c r="A19" s="2" t="n"/>
      <c r="B19" s="2" t="n"/>
      <c r="C19" s="2" t="n"/>
      <c r="D19" s="2" t="n"/>
    </row>
    <row r="20">
      <c r="A20" s="11" t="inlineStr">
        <is>
          <t>Critical Data Flow: Checkout</t>
        </is>
      </c>
      <c r="B20" s="2" t="n"/>
      <c r="C20" s="2" t="n"/>
      <c r="D20" s="2" t="n"/>
    </row>
    <row r="21" ht="30" customHeight="1">
      <c r="A21" s="5" t="inlineStr">
        <is>
          <t>Step</t>
        </is>
      </c>
      <c r="B21" s="5" t="inlineStr">
        <is>
          <t>Action</t>
        </is>
      </c>
      <c r="C21" s="5" t="inlineStr">
        <is>
          <t>Security / Integrity Rule</t>
        </is>
      </c>
      <c r="D21" s="5" t="inlineStr">
        <is>
          <t>Notes</t>
        </is>
      </c>
    </row>
    <row r="22">
      <c r="A22" s="4" t="inlineStr">
        <is>
          <t>1</t>
        </is>
      </c>
      <c r="B22" s="4" t="inlineStr">
        <is>
          <t>Client sends cart item/variant IDs + quantities</t>
        </is>
      </c>
      <c r="C22" s="4" t="inlineStr">
        <is>
          <t>No trusted price total from client</t>
        </is>
      </c>
      <c r="D22" s="4" t="inlineStr"/>
    </row>
    <row r="23">
      <c r="A23" s="4" t="inlineStr">
        <is>
          <t>2</t>
        </is>
      </c>
      <c r="B23" s="4" t="inlineStr">
        <is>
          <t>Server loads current product/variant prices and stock</t>
        </is>
      </c>
      <c r="C23" s="4" t="inlineStr">
        <is>
          <t>Reject inactive/out-of-stock/invalid quantities</t>
        </is>
      </c>
      <c r="D23" s="4" t="inlineStr"/>
    </row>
    <row r="24">
      <c r="A24" s="4" t="inlineStr">
        <is>
          <t>3</t>
        </is>
      </c>
      <c r="B24" s="4" t="inlineStr">
        <is>
          <t>Server applies valid discount and calculates totals</t>
        </is>
      </c>
      <c r="C24" s="4" t="inlineStr">
        <is>
          <t>All money math on server</t>
        </is>
      </c>
      <c r="D24" s="4" t="inlineStr"/>
    </row>
    <row r="25">
      <c r="A25" s="4" t="inlineStr">
        <is>
          <t>4</t>
        </is>
      </c>
      <c r="B25" s="4" t="inlineStr">
        <is>
          <t>Server creates PayMongo checkout session with metadata</t>
        </is>
      </c>
      <c r="C25" s="4" t="inlineStr">
        <is>
          <t>Use internal order/cart reference</t>
        </is>
      </c>
      <c r="D25" s="4" t="inlineStr"/>
    </row>
    <row r="26">
      <c r="A26" s="4" t="inlineStr">
        <is>
          <t>5</t>
        </is>
      </c>
      <c r="B26" s="4" t="inlineStr">
        <is>
          <t>Customer completes payment on PayMongo hosted checkout</t>
        </is>
      </c>
      <c r="C26" s="4" t="inlineStr">
        <is>
          <t>Browser redirect is not proof of payment</t>
        </is>
      </c>
      <c r="D26" s="4" t="inlineStr"/>
    </row>
    <row r="27">
      <c r="A27" s="4" t="inlineStr">
        <is>
          <t>6</t>
        </is>
      </c>
      <c r="B27" s="4" t="inlineStr">
        <is>
          <t>PayMongo webhook is received and signature verified</t>
        </is>
      </c>
      <c r="C27" s="4" t="inlineStr">
        <is>
          <t>Idempotency required</t>
        </is>
      </c>
      <c r="D27" s="4" t="inlineStr"/>
    </row>
    <row r="28">
      <c r="A28" s="4" t="inlineStr">
        <is>
          <t>7</t>
        </is>
      </c>
      <c r="B28" s="4" t="inlineStr">
        <is>
          <t>Server records payment/order state and adjusts inventory atomically where possible</t>
        </is>
      </c>
      <c r="C28" s="4" t="inlineStr">
        <is>
          <t>Prevent duplicate fulfillment/inventory deduction</t>
        </is>
      </c>
      <c r="D28" s="4" t="inlineStr"/>
    </row>
    <row r="29">
      <c r="A29" s="4" t="inlineStr">
        <is>
          <t>8</t>
        </is>
      </c>
      <c r="B29" s="4" t="inlineStr">
        <is>
          <t>Confirmation email sent and account order becomes visible</t>
        </is>
      </c>
      <c r="C29" s="4" t="inlineStr">
        <is>
          <t>Only after trusted paid state</t>
        </is>
      </c>
      <c r="D29" s="4" t="inlineStr"/>
    </row>
  </sheetData>
  <autoFilter ref="A3:D17"/>
  <mergeCells count="2">
    <mergeCell ref="A1:D1"/>
    <mergeCell ref="A20:D20"/>
  </mergeCells>
  <pageMargins left="0.75" right="0.75" top="1" bottom="1" header="0.5" footer="0.5"/>
</worksheet>
</file>

<file path=xl/worksheets/sheet6.xml><?xml version="1.0" encoding="utf-8"?>
<worksheet xmlns="http://schemas.openxmlformats.org/spreadsheetml/2006/main">
  <sheetPr>
    <tabColor rgb="002563EB"/>
    <outlinePr summaryBelow="1" summaryRight="1"/>
    <pageSetUpPr/>
  </sheetPr>
  <dimension ref="A1:E23"/>
  <sheetViews>
    <sheetView showGridLines="0" workbookViewId="0">
      <pane ySplit="3" topLeftCell="A4" activePane="bottomLeft" state="frozen"/>
      <selection pane="bottomLeft" activeCell="A1" sqref="A1"/>
    </sheetView>
  </sheetViews>
  <sheetFormatPr baseColWidth="8" defaultRowHeight="15"/>
  <cols>
    <col width="28" customWidth="1" min="1" max="1"/>
    <col width="18" customWidth="1" min="2" max="2"/>
    <col width="24" customWidth="1" min="3" max="3"/>
    <col width="66" customWidth="1" min="4" max="4"/>
    <col width="48" customWidth="1" min="5" max="5"/>
  </cols>
  <sheetData>
    <row r="1" ht="28" customHeight="1">
      <c r="A1" s="1" t="inlineStr">
        <is>
          <t>Route Map</t>
        </is>
      </c>
      <c r="B1" s="2" t="n"/>
      <c r="C1" s="2" t="n"/>
      <c r="D1" s="2" t="n"/>
      <c r="E1" s="2" t="n"/>
    </row>
    <row r="2">
      <c r="A2" s="2" t="n"/>
      <c r="B2" s="2" t="n"/>
      <c r="C2" s="2" t="n"/>
      <c r="D2" s="2" t="n"/>
      <c r="E2" s="2" t="n"/>
    </row>
    <row r="3" ht="30" customHeight="1">
      <c r="A3" s="5" t="inlineStr">
        <is>
          <t>Route</t>
        </is>
      </c>
      <c r="B3" s="5" t="inlineStr">
        <is>
          <t>Audience</t>
        </is>
      </c>
      <c r="C3" s="5" t="inlineStr">
        <is>
          <t>Render/Auth</t>
        </is>
      </c>
      <c r="D3" s="5" t="inlineStr">
        <is>
          <t>Purpose</t>
        </is>
      </c>
      <c r="E3" s="5" t="inlineStr">
        <is>
          <t>Notes</t>
        </is>
      </c>
    </row>
    <row r="4">
      <c r="A4" s="4" t="inlineStr">
        <is>
          <t>/</t>
        </is>
      </c>
      <c r="B4" s="4" t="inlineStr">
        <is>
          <t>Public</t>
        </is>
      </c>
      <c r="C4" s="4" t="inlineStr">
        <is>
          <t>Server</t>
        </is>
      </c>
      <c r="D4" s="4" t="inlineStr">
        <is>
          <t>Home/merchandising landing</t>
        </is>
      </c>
      <c r="E4" s="4" t="inlineStr">
        <is>
          <t>Keep focused; no unnecessary CMS in MVP.</t>
        </is>
      </c>
    </row>
    <row r="5">
      <c r="A5" s="4" t="inlineStr">
        <is>
          <t>/shop</t>
        </is>
      </c>
      <c r="B5" s="4" t="inlineStr">
        <is>
          <t>Public</t>
        </is>
      </c>
      <c r="C5" s="4" t="inlineStr">
        <is>
          <t>Server</t>
        </is>
      </c>
      <c r="D5" s="4" t="inlineStr">
        <is>
          <t>All active products</t>
        </is>
      </c>
      <c r="E5" s="4" t="inlineStr">
        <is>
          <t>Search/filter parameters via URL where useful.</t>
        </is>
      </c>
    </row>
    <row r="6">
      <c r="A6" s="4" t="inlineStr">
        <is>
          <t>/products/[slug]</t>
        </is>
      </c>
      <c r="B6" s="4" t="inlineStr">
        <is>
          <t>Public</t>
        </is>
      </c>
      <c r="C6" s="4" t="inlineStr">
        <is>
          <t>Server + client island</t>
        </is>
      </c>
      <c r="D6" s="4" t="inlineStr">
        <is>
          <t>Product details and variant selection</t>
        </is>
      </c>
      <c r="E6" s="4" t="inlineStr">
        <is>
          <t>Variant picker/add-to-cart may be client component.</t>
        </is>
      </c>
    </row>
    <row r="7">
      <c r="A7" s="4" t="inlineStr">
        <is>
          <t>/categories/[slug]</t>
        </is>
      </c>
      <c r="B7" s="4" t="inlineStr">
        <is>
          <t>Public</t>
        </is>
      </c>
      <c r="C7" s="4" t="inlineStr">
        <is>
          <t>Server</t>
        </is>
      </c>
      <c r="D7" s="4" t="inlineStr">
        <is>
          <t>Category products</t>
        </is>
      </c>
      <c r="E7" s="4" t="inlineStr">
        <is>
          <t>404 invalid category.</t>
        </is>
      </c>
    </row>
    <row r="8">
      <c r="A8" s="4" t="inlineStr">
        <is>
          <t>/search</t>
        </is>
      </c>
      <c r="B8" s="4" t="inlineStr">
        <is>
          <t>Public</t>
        </is>
      </c>
      <c r="C8" s="4" t="inlineStr">
        <is>
          <t>Server</t>
        </is>
      </c>
      <c r="D8" s="4" t="inlineStr">
        <is>
          <t>Search results</t>
        </is>
      </c>
      <c r="E8" s="4" t="inlineStr">
        <is>
          <t>Simple query parameter q.</t>
        </is>
      </c>
    </row>
    <row r="9">
      <c r="A9" s="4" t="inlineStr">
        <is>
          <t>/cart</t>
        </is>
      </c>
      <c r="B9" s="4" t="inlineStr">
        <is>
          <t>Public</t>
        </is>
      </c>
      <c r="C9" s="4" t="inlineStr">
        <is>
          <t>Mixed</t>
        </is>
      </c>
      <c r="D9" s="4" t="inlineStr">
        <is>
          <t>Review/update cart</t>
        </is>
      </c>
      <c r="E9" s="4" t="inlineStr">
        <is>
          <t>Server revalidates price/stock.</t>
        </is>
      </c>
    </row>
    <row r="10">
      <c r="A10" s="4" t="inlineStr">
        <is>
          <t>/checkout</t>
        </is>
      </c>
      <c r="B10" s="4" t="inlineStr">
        <is>
          <t>Public/Auth optional</t>
        </is>
      </c>
      <c r="C10" s="4" t="inlineStr">
        <is>
          <t>Mixed</t>
        </is>
      </c>
      <c r="D10" s="4" t="inlineStr">
        <is>
          <t>Checkout flow</t>
        </is>
      </c>
      <c r="E10" s="4" t="inlineStr">
        <is>
          <t>No admin logic here.</t>
        </is>
      </c>
    </row>
    <row r="11">
      <c r="A11" s="4" t="inlineStr">
        <is>
          <t>/order/[id]</t>
        </is>
      </c>
      <c r="B11" s="4" t="inlineStr">
        <is>
          <t>Customer</t>
        </is>
      </c>
      <c r="C11" s="4" t="inlineStr">
        <is>
          <t>Server protected</t>
        </is>
      </c>
      <c r="D11" s="4" t="inlineStr">
        <is>
          <t>Post-purchase order view</t>
        </is>
      </c>
      <c r="E11" s="4" t="inlineStr">
        <is>
          <t>Verify ownership.</t>
        </is>
      </c>
    </row>
    <row r="12">
      <c r="A12" s="4" t="inlineStr">
        <is>
          <t>/login</t>
        </is>
      </c>
      <c r="B12" s="4" t="inlineStr">
        <is>
          <t>Guest</t>
        </is>
      </c>
      <c r="C12" s="4" t="inlineStr">
        <is>
          <t>Client/form</t>
        </is>
      </c>
      <c r="D12" s="4" t="inlineStr">
        <is>
          <t>Login</t>
        </is>
      </c>
      <c r="E12" s="4" t="inlineStr">
        <is>
          <t>Redirect authenticated users appropriately.</t>
        </is>
      </c>
    </row>
    <row r="13">
      <c r="A13" s="4" t="inlineStr">
        <is>
          <t>/register</t>
        </is>
      </c>
      <c r="B13" s="4" t="inlineStr">
        <is>
          <t>Guest</t>
        </is>
      </c>
      <c r="C13" s="4" t="inlineStr">
        <is>
          <t>Client/form</t>
        </is>
      </c>
      <c r="D13" s="4" t="inlineStr">
        <is>
          <t>Registration</t>
        </is>
      </c>
      <c r="E13" s="4" t="inlineStr">
        <is>
          <t>Minimal fields.</t>
        </is>
      </c>
    </row>
    <row r="14">
      <c r="A14" s="4" t="inlineStr">
        <is>
          <t>/account</t>
        </is>
      </c>
      <c r="B14" s="4" t="inlineStr">
        <is>
          <t>Customer</t>
        </is>
      </c>
      <c r="C14" s="4" t="inlineStr">
        <is>
          <t>Server protected</t>
        </is>
      </c>
      <c r="D14" s="4" t="inlineStr">
        <is>
          <t>Account dashboard</t>
        </is>
      </c>
      <c r="E14" s="4" t="inlineStr">
        <is>
          <t>Own data only.</t>
        </is>
      </c>
    </row>
    <row r="15">
      <c r="A15" s="4" t="inlineStr">
        <is>
          <t>/account/orders</t>
        </is>
      </c>
      <c r="B15" s="4" t="inlineStr">
        <is>
          <t>Customer</t>
        </is>
      </c>
      <c r="C15" s="4" t="inlineStr">
        <is>
          <t>Server protected</t>
        </is>
      </c>
      <c r="D15" s="4" t="inlineStr">
        <is>
          <t>Order history</t>
        </is>
      </c>
      <c r="E15" s="4" t="inlineStr">
        <is>
          <t>Own orders only.</t>
        </is>
      </c>
    </row>
    <row r="16">
      <c r="A16" s="4" t="inlineStr">
        <is>
          <t>/account/addresses</t>
        </is>
      </c>
      <c r="B16" s="4" t="inlineStr">
        <is>
          <t>Customer</t>
        </is>
      </c>
      <c r="C16" s="4" t="inlineStr">
        <is>
          <t>Server protected</t>
        </is>
      </c>
      <c r="D16" s="4" t="inlineStr">
        <is>
          <t>Saved addresses</t>
        </is>
      </c>
      <c r="E16" s="4" t="inlineStr">
        <is>
          <t>Own addresses only.</t>
        </is>
      </c>
    </row>
    <row r="17">
      <c r="A17" s="4" t="inlineStr">
        <is>
          <t>/account/settings</t>
        </is>
      </c>
      <c r="B17" s="4" t="inlineStr">
        <is>
          <t>Customer</t>
        </is>
      </c>
      <c r="C17" s="4" t="inlineStr">
        <is>
          <t>Server protected</t>
        </is>
      </c>
      <c r="D17" s="4" t="inlineStr">
        <is>
          <t>Profile basics</t>
        </is>
      </c>
      <c r="E17" s="4" t="inlineStr">
        <is>
          <t>Do not expose sensitive auth internals.</t>
        </is>
      </c>
    </row>
    <row r="18">
      <c r="A18" s="4" t="inlineStr">
        <is>
          <t>/admin</t>
        </is>
      </c>
      <c r="B18" s="4" t="inlineStr">
        <is>
          <t>Admin</t>
        </is>
      </c>
      <c r="C18" s="4" t="inlineStr">
        <is>
          <t>Server protected</t>
        </is>
      </c>
      <c r="D18" s="4" t="inlineStr">
        <is>
          <t>Admin dashboard</t>
        </is>
      </c>
      <c r="E18" s="4" t="inlineStr">
        <is>
          <t>Hard server role check.</t>
        </is>
      </c>
    </row>
    <row r="19">
      <c r="A19" s="4" t="inlineStr">
        <is>
          <t>/admin/products</t>
        </is>
      </c>
      <c r="B19" s="4" t="inlineStr">
        <is>
          <t>Admin</t>
        </is>
      </c>
      <c r="C19" s="4" t="inlineStr">
        <is>
          <t>Server protected</t>
        </is>
      </c>
      <c r="D19" s="4" t="inlineStr">
        <is>
          <t>Product management</t>
        </is>
      </c>
      <c r="E19" s="4" t="inlineStr">
        <is>
          <t>CRUD/archive.</t>
        </is>
      </c>
    </row>
    <row r="20">
      <c r="A20" s="4" t="inlineStr">
        <is>
          <t>/admin/categories</t>
        </is>
      </c>
      <c r="B20" s="4" t="inlineStr">
        <is>
          <t>Admin</t>
        </is>
      </c>
      <c r="C20" s="4" t="inlineStr">
        <is>
          <t>Server protected</t>
        </is>
      </c>
      <c r="D20" s="4" t="inlineStr">
        <is>
          <t>Category management</t>
        </is>
      </c>
      <c r="E20" s="4" t="inlineStr">
        <is>
          <t>CRUD.</t>
        </is>
      </c>
    </row>
    <row r="21">
      <c r="A21" s="4" t="inlineStr">
        <is>
          <t>/admin/orders</t>
        </is>
      </c>
      <c r="B21" s="4" t="inlineStr">
        <is>
          <t>Admin</t>
        </is>
      </c>
      <c r="C21" s="4" t="inlineStr">
        <is>
          <t>Server protected</t>
        </is>
      </c>
      <c r="D21" s="4" t="inlineStr">
        <is>
          <t>Order management</t>
        </is>
      </c>
      <c r="E21" s="4" t="inlineStr">
        <is>
          <t>Fulfillment/status actions.</t>
        </is>
      </c>
    </row>
    <row r="22">
      <c r="A22" s="4" t="inlineStr">
        <is>
          <t>/admin/inventory</t>
        </is>
      </c>
      <c r="B22" s="4" t="inlineStr">
        <is>
          <t>Admin</t>
        </is>
      </c>
      <c r="C22" s="4" t="inlineStr">
        <is>
          <t>Server protected</t>
        </is>
      </c>
      <c r="D22" s="4" t="inlineStr">
        <is>
          <t>Variant inventory</t>
        </is>
      </c>
      <c r="E22" s="4" t="inlineStr">
        <is>
          <t>Adjust stock with audit-friendly updates.</t>
        </is>
      </c>
    </row>
    <row r="23">
      <c r="A23" s="4" t="inlineStr">
        <is>
          <t>/api/paymongo/webhook</t>
        </is>
      </c>
      <c r="B23" s="4" t="inlineStr">
        <is>
          <t>PayMongo only</t>
        </is>
      </c>
      <c r="C23" s="4" t="inlineStr">
        <is>
          <t>Route handler</t>
        </is>
      </c>
      <c r="D23" s="4" t="inlineStr">
        <is>
          <t>Receive PayMongo webhook</t>
        </is>
      </c>
      <c r="E23" s="4" t="inlineStr">
        <is>
          <t>Verify signature; idempotent.</t>
        </is>
      </c>
    </row>
  </sheetData>
  <autoFilter ref="A3:E23"/>
  <mergeCells count="1">
    <mergeCell ref="A1:E1"/>
  </mergeCells>
  <pageMargins left="0.75" right="0.75" top="1" bottom="1" header="0.5" footer="0.5"/>
</worksheet>
</file>

<file path=xl/worksheets/sheet7.xml><?xml version="1.0" encoding="utf-8"?>
<worksheet xmlns="http://schemas.openxmlformats.org/spreadsheetml/2006/main">
  <sheetPr>
    <tabColor rgb="00DC2626"/>
    <outlinePr summaryBelow="1" summaryRight="1"/>
    <pageSetUpPr/>
  </sheetPr>
  <dimension ref="A1:E17"/>
  <sheetViews>
    <sheetView showGridLines="0" workbookViewId="0">
      <pane ySplit="3" topLeftCell="A4" activePane="bottomLeft" state="frozen"/>
      <selection pane="bottomLeft" activeCell="A1" sqref="A1"/>
    </sheetView>
  </sheetViews>
  <sheetFormatPr baseColWidth="8" defaultRowHeight="15"/>
  <cols>
    <col width="24" customWidth="1" min="1" max="1"/>
    <col width="34" customWidth="1" min="2" max="2"/>
    <col width="62" customWidth="1" min="3" max="3"/>
    <col width="58" customWidth="1" min="4" max="4"/>
    <col width="52" customWidth="1" min="5" max="5"/>
  </cols>
  <sheetData>
    <row r="1" ht="28" customHeight="1">
      <c r="A1" s="1" t="inlineStr">
        <is>
          <t>Logical Data Model</t>
        </is>
      </c>
      <c r="B1" s="2" t="n"/>
      <c r="C1" s="2" t="n"/>
      <c r="D1" s="2" t="n"/>
      <c r="E1" s="2" t="n"/>
    </row>
    <row r="2">
      <c r="A2" s="2" t="n"/>
      <c r="B2" s="2" t="n"/>
      <c r="C2" s="2" t="n"/>
      <c r="D2" s="2" t="n"/>
      <c r="E2" s="2" t="n"/>
    </row>
    <row r="3" ht="30" customHeight="1">
      <c r="A3" s="5" t="inlineStr">
        <is>
          <t>Entity / Table</t>
        </is>
      </c>
      <c r="B3" s="5" t="inlineStr">
        <is>
          <t>Key fields (illustrative)</t>
        </is>
      </c>
      <c r="C3" s="5" t="inlineStr">
        <is>
          <t>Purpose</t>
        </is>
      </c>
      <c r="D3" s="5" t="inlineStr">
        <is>
          <t>Relationships</t>
        </is>
      </c>
      <c r="E3" s="5" t="inlineStr">
        <is>
          <t>Rules</t>
        </is>
      </c>
    </row>
    <row r="4">
      <c r="A4" s="4" t="inlineStr">
        <is>
          <t>profiles</t>
        </is>
      </c>
      <c r="B4" s="4" t="inlineStr">
        <is>
          <t>id (auth user FK), display_name, role, created_at</t>
        </is>
      </c>
      <c r="C4" s="4" t="inlineStr">
        <is>
          <t>App profile/role extension</t>
        </is>
      </c>
      <c r="D4" s="4" t="inlineStr">
        <is>
          <t>1:1 with auth.users</t>
        </is>
      </c>
      <c r="E4" s="4" t="inlineStr">
        <is>
          <t>Role values customer/admin. Do not duplicate password/auth secrets.</t>
        </is>
      </c>
    </row>
    <row r="5">
      <c r="A5" s="4" t="inlineStr">
        <is>
          <t>products</t>
        </is>
      </c>
      <c r="B5" s="4" t="inlineStr">
        <is>
          <t>id, slug, name, description, status, base_price?, created_at, updated_at</t>
        </is>
      </c>
      <c r="C5" s="4" t="inlineStr">
        <is>
          <t>Parent product</t>
        </is>
      </c>
      <c r="D5" s="4" t="inlineStr">
        <is>
          <t>1:M variants, 1:M images, M:M categories</t>
        </is>
      </c>
      <c r="E5" s="4" t="inlineStr">
        <is>
          <t>Prefer variant price as source when variants exist; slug unique.</t>
        </is>
      </c>
    </row>
    <row r="6">
      <c r="A6" s="4" t="inlineStr">
        <is>
          <t>product_variants</t>
        </is>
      </c>
      <c r="B6" s="4" t="inlineStr">
        <is>
          <t>id, product_id, sku, title/options, price, compare_at_price?, active</t>
        </is>
      </c>
      <c r="C6" s="4" t="inlineStr">
        <is>
          <t>Sellable SKU</t>
        </is>
      </c>
      <c r="D6" s="4" t="inlineStr">
        <is>
          <t>M:1 product, 1:1 or 1:M inventory</t>
        </is>
      </c>
      <c r="E6" s="4" t="inlineStr">
        <is>
          <t>SKU unique; price non-negative.</t>
        </is>
      </c>
    </row>
    <row r="7">
      <c r="A7" s="4" t="inlineStr">
        <is>
          <t>product_images</t>
        </is>
      </c>
      <c r="B7" s="4" t="inlineStr">
        <is>
          <t>id, product_id, storage_path/url, alt_text, sort_order</t>
        </is>
      </c>
      <c r="C7" s="4" t="inlineStr">
        <is>
          <t>Product media</t>
        </is>
      </c>
      <c r="D7" s="4" t="inlineStr">
        <is>
          <t>M:1 product</t>
        </is>
      </c>
      <c r="E7" s="4" t="inlineStr">
        <is>
          <t>Admin writes only.</t>
        </is>
      </c>
    </row>
    <row r="8">
      <c r="A8" s="4" t="inlineStr">
        <is>
          <t>categories</t>
        </is>
      </c>
      <c r="B8" s="4" t="inlineStr">
        <is>
          <t>id, slug, name, description?, active</t>
        </is>
      </c>
      <c r="C8" s="4" t="inlineStr">
        <is>
          <t>Catalog grouping</t>
        </is>
      </c>
      <c r="D8" s="4" t="inlineStr">
        <is>
          <t>M:M products</t>
        </is>
      </c>
      <c r="E8" s="4" t="inlineStr">
        <is>
          <t>Slug unique.</t>
        </is>
      </c>
    </row>
    <row r="9">
      <c r="A9" s="4" t="inlineStr">
        <is>
          <t>product_categories</t>
        </is>
      </c>
      <c r="B9" s="4" t="inlineStr">
        <is>
          <t>product_id, category_id</t>
        </is>
      </c>
      <c r="C9" s="4" t="inlineStr">
        <is>
          <t>Join table</t>
        </is>
      </c>
      <c r="D9" s="4" t="inlineStr">
        <is>
          <t>M:M products/categories</t>
        </is>
      </c>
      <c r="E9" s="4" t="inlineStr">
        <is>
          <t>Composite unique.</t>
        </is>
      </c>
    </row>
    <row r="10">
      <c r="A10" s="4" t="inlineStr">
        <is>
          <t>inventory</t>
        </is>
      </c>
      <c r="B10" s="4" t="inlineStr">
        <is>
          <t>variant_id, quantity_on_hand, reserved?</t>
        </is>
      </c>
      <c r="C10" s="4" t="inlineStr">
        <is>
          <t>Variant stock</t>
        </is>
      </c>
      <c r="D10" s="4" t="inlineStr">
        <is>
          <t>1:1 variant for MVP</t>
        </is>
      </c>
      <c r="E10" s="4" t="inlineStr">
        <is>
          <t>Never allow purchase above available; updates from trusted server/admin.</t>
        </is>
      </c>
    </row>
    <row r="11" ht="65" customHeight="1">
      <c r="A11" s="4" t="inlineStr">
        <is>
          <t>carts</t>
        </is>
      </c>
      <c r="B11" s="4" t="inlineStr">
        <is>
          <t>id, user_id?, guest_token?, status, updated_at</t>
        </is>
      </c>
      <c r="C11" s="4" t="inlineStr">
        <is>
          <t>Shopping cart</t>
        </is>
      </c>
      <c r="D11" s="4" t="inlineStr">
        <is>
          <t>1:M cart_items</t>
        </is>
      </c>
      <c r="E11" s="4" t="inlineStr">
        <is>
          <t>Guest or user ownership. guest_token stores only the secret hash. One active cart per user; guest and account carts remain separate.</t>
        </is>
      </c>
    </row>
    <row r="12" ht="65" customHeight="1">
      <c r="A12" s="4" t="inlineStr">
        <is>
          <t>cart_items</t>
        </is>
      </c>
      <c r="B12" s="4" t="inlineStr">
        <is>
          <t>id, cart_id, variant_id, quantity</t>
        </is>
      </c>
      <c r="C12" s="4" t="inlineStr">
        <is>
          <t>Cart lines</t>
        </is>
      </c>
      <c r="D12" s="4" t="inlineStr">
        <is>
          <t>M:1 cart, M:1 variant</t>
        </is>
      </c>
      <c r="E12" s="4" t="inlineStr">
        <is>
          <t>Unique cart+variant; positive integer quantity, checked against current stock by server routines. Add increments atomically; explicit remove deletes the line.</t>
        </is>
      </c>
    </row>
    <row r="13" ht="95" customHeight="1">
      <c r="A13" s="4" t="inlineStr">
        <is>
          <t>addresses</t>
        </is>
      </c>
      <c r="B13" s="4" t="inlineStr">
        <is>
          <t>id, user_id, type?, name, line1, line2?, city, region, postal_code, country, phone?</t>
        </is>
      </c>
      <c r="C13" s="4" t="inlineStr">
        <is>
          <t>Saved addresses</t>
        </is>
      </c>
      <c r="D13" s="4" t="inlineStr">
        <is>
          <t>M:1 user</t>
        </is>
      </c>
      <c r="E13" s="4" t="inlineStr">
        <is>
          <t>User owns rows. M07 saves/reuses PH checkout addresses for signed-in accounts; guest form is transient. No guest rows or new fields.</t>
        </is>
      </c>
    </row>
    <row r="14">
      <c r="A14" s="4" t="inlineStr">
        <is>
          <t>orders</t>
        </is>
      </c>
      <c r="B14" s="4" t="inlineStr">
        <is>
          <t>id, user_id?, email, status, payment_status, subtotal, discount_total, shipping_total, tax_total, grand_total, currency, payment provider refs (PayMongo; column rename proposed in M09), created_at</t>
        </is>
      </c>
      <c r="C14" s="4" t="inlineStr">
        <is>
          <t>Commercial order</t>
        </is>
      </c>
      <c r="D14" s="4" t="inlineStr">
        <is>
          <t>1:M order_items</t>
        </is>
      </c>
      <c r="E14" s="4" t="inlineStr">
        <is>
          <t>Store immutable price snapshot; totals server-generated.</t>
        </is>
      </c>
    </row>
    <row r="15">
      <c r="A15" s="4" t="inlineStr">
        <is>
          <t>order_items</t>
        </is>
      </c>
      <c r="B15" s="4" t="inlineStr">
        <is>
          <t>id, order_id, variant_id?, sku, product_name, variant_name, unit_price, quantity, line_total</t>
        </is>
      </c>
      <c r="C15" s="4" t="inlineStr">
        <is>
          <t>Immutable order line snapshot</t>
        </is>
      </c>
      <c r="D15" s="4" t="inlineStr">
        <is>
          <t>M:1 order</t>
        </is>
      </c>
      <c r="E15" s="4" t="inlineStr">
        <is>
          <t>Do not depend on mutable catalog data for historical display.</t>
        </is>
      </c>
    </row>
    <row r="16" ht="130" customHeight="1">
      <c r="A16" s="4" t="inlineStr">
        <is>
          <t>discounts</t>
        </is>
      </c>
      <c r="B16" s="4" t="inlineStr">
        <is>
          <t>id, code, type, value, active, starts_at?, ends_at?, usage_limit?, redemption_count</t>
        </is>
      </c>
      <c r="C16" s="4" t="inlineStr">
        <is>
          <t>Simple coupon/discount</t>
        </is>
      </c>
      <c r="D16" s="4" t="inlineStr">
        <is>
          <t>Applied during checkout</t>
        </is>
      </c>
      <c r="E16" s="4" t="inlineStr">
        <is>
          <t>M07-P01: nonnegative redemption_count defaults to 0; client writes denied. Read-only quote checks global usage. Types: fixed/percentage; no stacking or quote-time consumption.</t>
        </is>
      </c>
    </row>
    <row r="17">
      <c r="A17" s="4" t="inlineStr">
        <is>
          <t>webhook_events</t>
        </is>
      </c>
      <c r="B17" s="4" t="inlineStr">
        <is>
          <t>provider_event_id, type, processed_at, payload_hash?</t>
        </is>
      </c>
      <c r="C17" s="4" t="inlineStr">
        <is>
          <t>Webhook idempotency/audit</t>
        </is>
      </c>
      <c r="D17" s="4" t="inlineStr">
        <is>
          <t>PayMongo events</t>
        </is>
      </c>
      <c r="E17" s="4" t="inlineStr">
        <is>
          <t>Unique provider_event_id to prevent double-processing.</t>
        </is>
      </c>
    </row>
  </sheetData>
  <autoFilter ref="A3:E17"/>
  <mergeCells count="1">
    <mergeCell ref="A1:E1"/>
  </mergeCells>
  <pageMargins left="0.75" right="0.75" top="1" bottom="1" header="0.5" footer="0.5"/>
</worksheet>
</file>

<file path=xl/worksheets/sheet8.xml><?xml version="1.0" encoding="utf-8"?>
<worksheet xmlns="http://schemas.openxmlformats.org/spreadsheetml/2006/main">
  <sheetPr>
    <tabColor rgb="000F766E"/>
    <outlinePr summaryBelow="1" summaryRight="1"/>
    <pageSetUpPr/>
  </sheetPr>
  <dimension ref="A1:E15"/>
  <sheetViews>
    <sheetView showGridLines="0" workbookViewId="0">
      <pane ySplit="3" topLeftCell="A4" activePane="bottomLeft" state="frozen"/>
      <selection pane="bottomLeft" activeCell="A1" sqref="A1"/>
    </sheetView>
  </sheetViews>
  <sheetFormatPr baseColWidth="8" defaultRowHeight="15"/>
  <cols>
    <col width="22" customWidth="1" min="1" max="1"/>
    <col width="24" customWidth="1" min="2" max="2"/>
    <col width="24" customWidth="1" min="3" max="3"/>
    <col width="66" customWidth="1" min="4" max="4"/>
    <col width="58" customWidth="1" min="5" max="5"/>
  </cols>
  <sheetData>
    <row r="1" ht="28" customHeight="1">
      <c r="A1" s="1" t="inlineStr">
        <is>
          <t>Authorization &amp; RLS Matrix</t>
        </is>
      </c>
      <c r="B1" s="2" t="n"/>
      <c r="C1" s="2" t="n"/>
      <c r="D1" s="2" t="n"/>
      <c r="E1" s="2" t="n"/>
    </row>
    <row r="2">
      <c r="A2" s="2" t="n"/>
      <c r="B2" s="2" t="n"/>
      <c r="C2" s="2" t="n"/>
      <c r="D2" s="2" t="n"/>
      <c r="E2" s="2" t="n"/>
    </row>
    <row r="3" ht="30" customHeight="1">
      <c r="A3" s="5" t="inlineStr">
        <is>
          <t>Resource</t>
        </is>
      </c>
      <c r="B3" s="5" t="inlineStr">
        <is>
          <t>Role</t>
        </is>
      </c>
      <c r="C3" s="5" t="inlineStr">
        <is>
          <t>Action</t>
        </is>
      </c>
      <c r="D3" s="5" t="inlineStr">
        <is>
          <t>Policy / Server Rule</t>
        </is>
      </c>
      <c r="E3" s="5" t="inlineStr">
        <is>
          <t>Never Do</t>
        </is>
      </c>
    </row>
    <row r="4">
      <c r="A4" s="4" t="inlineStr">
        <is>
          <t>products/categories</t>
        </is>
      </c>
      <c r="B4" s="4" t="inlineStr">
        <is>
          <t>Public</t>
        </is>
      </c>
      <c r="C4" s="4" t="inlineStr">
        <is>
          <t>Read</t>
        </is>
      </c>
      <c r="D4" s="4" t="inlineStr">
        <is>
          <t>Only active/published rows</t>
        </is>
      </c>
      <c r="E4" s="4" t="inlineStr">
        <is>
          <t>Expose drafts/admin-only fields unnecessarily.</t>
        </is>
      </c>
    </row>
    <row r="5">
      <c r="A5" s="4" t="inlineStr">
        <is>
          <t>products/categories</t>
        </is>
      </c>
      <c r="B5" s="4" t="inlineStr">
        <is>
          <t>Admin</t>
        </is>
      </c>
      <c r="C5" s="4" t="inlineStr">
        <is>
          <t>Create/Update/Archive</t>
        </is>
      </c>
      <c r="D5" s="4" t="inlineStr">
        <is>
          <t>Server confirms admin; RLS/write policy admin only</t>
        </is>
      </c>
      <c r="E5" s="4" t="inlineStr">
        <is>
          <t>Authorize solely because /admin UI is hidden.</t>
        </is>
      </c>
    </row>
    <row r="6">
      <c r="A6" s="4" t="inlineStr">
        <is>
          <t>inventory</t>
        </is>
      </c>
      <c r="B6" s="4" t="inlineStr">
        <is>
          <t>Public</t>
        </is>
      </c>
      <c r="C6" s="4" t="inlineStr">
        <is>
          <t>Read derived availability</t>
        </is>
      </c>
      <c r="D6" s="4" t="inlineStr">
        <is>
          <t>Expose internal adjustment controls</t>
        </is>
      </c>
      <c r="E6" s="4" t="inlineStr">
        <is>
          <t>Allow direct public writes.</t>
        </is>
      </c>
    </row>
    <row r="7">
      <c r="A7" s="4" t="inlineStr">
        <is>
          <t>inventory</t>
        </is>
      </c>
      <c r="B7" s="4" t="inlineStr">
        <is>
          <t>Admin</t>
        </is>
      </c>
      <c r="C7" s="4" t="inlineStr">
        <is>
          <t>Adjust</t>
        </is>
      </c>
      <c r="D7" s="4" t="inlineStr">
        <is>
          <t>Admin-only trusted mutation</t>
        </is>
      </c>
      <c r="E7" s="4" t="inlineStr">
        <is>
          <t>Let client set arbitrary stock without role check.</t>
        </is>
      </c>
    </row>
    <row r="8" ht="75" customHeight="1">
      <c r="A8" s="4" t="inlineStr">
        <is>
          <t>carts/cart_items</t>
        </is>
      </c>
      <c r="B8" s="4" t="inlineStr">
        <is>
          <t>Guest</t>
        </is>
      </c>
      <c r="C8" s="4" t="inlineStr">
        <is>
          <t>Own cart</t>
        </is>
      </c>
      <c r="D8" s="4" t="inlineStr">
        <is>
          <t>Owner-only RLS via hashed guest secret; secure 30-day cookie. Narrow server routines validate stock/quantity and calculate prices/subtotals. Direct client table writes denied.</t>
        </is>
      </c>
      <c r="E8" s="4" t="inlineStr">
        <is>
          <t>Trust cart price values stored by browser.</t>
        </is>
      </c>
    </row>
    <row r="9" ht="75" customHeight="1">
      <c r="A9" s="4" t="inlineStr">
        <is>
          <t>carts/cart_items</t>
        </is>
      </c>
      <c r="B9" s="4" t="inlineStr">
        <is>
          <t>Customer</t>
        </is>
      </c>
      <c r="C9" s="4" t="inlineStr">
        <is>
          <t>Own cart</t>
        </is>
      </c>
      <c r="D9" s="4" t="inlineStr">
        <is>
          <t>user_id = auth.uid(); verified session and owner-only RLS. Guest credentials cannot override account identity. Separate carts; no automatic merge. Mutations use validated routines.</t>
        </is>
      </c>
      <c r="E9" s="4" t="inlineStr">
        <is>
          <t>Read another user cart.</t>
        </is>
      </c>
    </row>
    <row r="10" ht="90" customHeight="1">
      <c r="A10" s="4" t="inlineStr">
        <is>
          <t>addresses</t>
        </is>
      </c>
      <c r="B10" s="4" t="inlineStr">
        <is>
          <t>Customer</t>
        </is>
      </c>
      <c r="C10" s="4" t="inlineStr">
        <is>
          <t>CRUD own</t>
        </is>
      </c>
      <c r="D10" s="4" t="inlineStr">
        <is>
          <t>user_id = auth.uid(); server-confirmed account owns checkout address saves/reuse. Browser owner/address IDs confer no authority.</t>
        </is>
      </c>
      <c r="E10" s="4" t="inlineStr">
        <is>
          <t>Allow user_id override.</t>
        </is>
      </c>
    </row>
    <row r="11">
      <c r="A11" s="4" t="inlineStr">
        <is>
          <t>orders/order_items</t>
        </is>
      </c>
      <c r="B11" s="4" t="inlineStr">
        <is>
          <t>Customer</t>
        </is>
      </c>
      <c r="C11" s="4" t="inlineStr">
        <is>
          <t>Read own</t>
        </is>
      </c>
      <c r="D11" s="4" t="inlineStr">
        <is>
          <t>orders.user_id = auth.uid() or secure guest order access strategy</t>
        </is>
      </c>
      <c r="E11" s="4" t="inlineStr">
        <is>
          <t>Query arbitrary order IDs without ownership check.</t>
        </is>
      </c>
    </row>
    <row r="12">
      <c r="A12" s="4" t="inlineStr">
        <is>
          <t>orders</t>
        </is>
      </c>
      <c r="B12" s="4" t="inlineStr">
        <is>
          <t>Public/Customer</t>
        </is>
      </c>
      <c r="C12" s="4" t="inlineStr">
        <is>
          <t>Create indirectly</t>
        </is>
      </c>
      <c r="D12" s="4" t="inlineStr">
        <is>
          <t>Created only through trusted checkout/payment path</t>
        </is>
      </c>
      <c r="E12" s="4" t="inlineStr">
        <is>
          <t>Create paid order directly from client.</t>
        </is>
      </c>
    </row>
    <row r="13">
      <c r="A13" s="4" t="inlineStr">
        <is>
          <t>orders</t>
        </is>
      </c>
      <c r="B13" s="4" t="inlineStr">
        <is>
          <t>Admin</t>
        </is>
      </c>
      <c r="C13" s="4" t="inlineStr">
        <is>
          <t>Read/update fulfillment</t>
        </is>
      </c>
      <c r="D13" s="4" t="inlineStr">
        <is>
          <t>Admin server check; payment_status changes tied to payment system</t>
        </is>
      </c>
      <c r="E13" s="4" t="inlineStr">
        <is>
          <t>Manually mark payment paid from untrusted form.</t>
        </is>
      </c>
    </row>
    <row r="14">
      <c r="A14" s="4" t="inlineStr">
        <is>
          <t>profiles</t>
        </is>
      </c>
      <c r="B14" s="4" t="inlineStr">
        <is>
          <t>Customer</t>
        </is>
      </c>
      <c r="C14" s="4" t="inlineStr">
        <is>
          <t>Read/update own safe fields</t>
        </is>
      </c>
      <c r="D14" s="4" t="inlineStr">
        <is>
          <t>id = auth.uid(); role not user-editable</t>
        </is>
      </c>
      <c r="E14" s="4" t="inlineStr">
        <is>
          <t>Let customers promote own role.</t>
        </is>
      </c>
    </row>
    <row r="15">
      <c r="A15" s="4" t="inlineStr">
        <is>
          <t>webhook_events</t>
        </is>
      </c>
      <c r="B15" s="4" t="inlineStr">
        <is>
          <t>Service</t>
        </is>
      </c>
      <c r="C15" s="4" t="inlineStr">
        <is>
          <t>Create/read</t>
        </is>
      </c>
      <c r="D15" s="4" t="inlineStr">
        <is>
          <t>Server/service key only</t>
        </is>
      </c>
      <c r="E15" s="4" t="inlineStr">
        <is>
          <t>Expose service-role key to browser.</t>
        </is>
      </c>
    </row>
  </sheetData>
  <autoFilter ref="A3:E15"/>
  <mergeCells count="1">
    <mergeCell ref="A1:E1"/>
  </mergeCells>
  <pageMargins left="0.75" right="0.75" top="1" bottom="1" header="0.5" footer="0.5"/>
</worksheet>
</file>

<file path=xl/worksheets/sheet9.xml><?xml version="1.0" encoding="utf-8"?>
<worksheet xmlns="http://schemas.openxmlformats.org/spreadsheetml/2006/main">
  <sheetPr>
    <tabColor rgb="002563EB"/>
    <outlinePr summaryBelow="1" summaryRight="1"/>
    <pageSetUpPr/>
  </sheetPr>
  <dimension ref="A1:I20"/>
  <sheetViews>
    <sheetView showGridLines="0" workbookViewId="0">
      <pane ySplit="3" topLeftCell="A4" activePane="bottomLeft" state="frozen"/>
      <selection pane="bottomLeft" activeCell="A1" sqref="A1"/>
    </sheetView>
  </sheetViews>
  <sheetFormatPr baseColWidth="8" defaultRowHeight="15"/>
  <cols>
    <col width="11" customWidth="1" min="1" max="1"/>
    <col width="28" customWidth="1" min="2" max="2"/>
    <col width="18" customWidth="1" min="3" max="3"/>
    <col width="18" customWidth="1" min="4" max="4"/>
    <col width="18" customWidth="1" min="5" max="5"/>
    <col width="62" customWidth="1" min="6" max="6"/>
    <col width="62" customWidth="1" min="7" max="7"/>
    <col width="18" customWidth="1" min="8" max="8"/>
    <col width="16" customWidth="1" min="9" max="9"/>
  </cols>
  <sheetData>
    <row r="1" ht="28" customHeight="1">
      <c r="A1" s="1" t="inlineStr">
        <is>
          <t>Implementation Roadmap</t>
        </is>
      </c>
      <c r="B1" s="2" t="n"/>
      <c r="C1" s="2" t="n"/>
      <c r="D1" s="2" t="n"/>
      <c r="E1" s="2" t="n"/>
      <c r="F1" s="2" t="n"/>
      <c r="G1" s="2" t="n"/>
      <c r="H1" s="2" t="n"/>
      <c r="I1" s="2" t="n"/>
    </row>
    <row r="2">
      <c r="A2" s="2" t="n"/>
      <c r="B2" s="2" t="n"/>
      <c r="C2" s="2" t="n"/>
      <c r="D2" s="2" t="n"/>
      <c r="E2" s="2" t="n"/>
      <c r="F2" s="2" t="n"/>
      <c r="G2" s="2" t="n"/>
      <c r="H2" s="2" t="n"/>
      <c r="I2" s="2" t="n"/>
    </row>
    <row r="3" ht="30" customHeight="1">
      <c r="A3" s="5" t="inlineStr">
        <is>
          <t>ID</t>
        </is>
      </c>
      <c r="B3" s="5" t="inlineStr">
        <is>
          <t>Milestone</t>
        </is>
      </c>
      <c r="C3" s="5" t="inlineStr">
        <is>
          <t>Priority</t>
        </is>
      </c>
      <c r="D3" s="5" t="inlineStr">
        <is>
          <t>Dependency</t>
        </is>
      </c>
      <c r="E3" s="5" t="inlineStr">
        <is>
          <t>Status</t>
        </is>
      </c>
      <c r="F3" s="5" t="inlineStr">
        <is>
          <t>Deliverables</t>
        </is>
      </c>
      <c r="G3" s="5" t="inlineStr">
        <is>
          <t>Definition of Done / Acceptance Criteria</t>
        </is>
      </c>
      <c r="H3" s="5" t="inlineStr">
        <is>
          <t>Owner</t>
        </is>
      </c>
      <c r="I3" s="5" t="inlineStr">
        <is>
          <t>Estimate</t>
        </is>
      </c>
    </row>
    <row r="4">
      <c r="A4" s="4" t="inlineStr">
        <is>
          <t>M00</t>
        </is>
      </c>
      <c r="B4" s="4" t="inlineStr">
        <is>
          <t>Repository &amp; engineering baseline</t>
        </is>
      </c>
      <c r="C4" s="4" t="inlineStr">
        <is>
          <t>P0</t>
        </is>
      </c>
      <c r="D4" s="4" t="inlineStr">
        <is>
          <t>None</t>
        </is>
      </c>
      <c r="E4" s="12" t="inlineStr">
        <is>
          <t>Done</t>
        </is>
      </c>
      <c r="F4" s="4" t="inlineStr">
        <is>
          <t>Next.js TS app; Tailwind; shadcn; lint/typecheck; env example; AGENTS.md/AI rules</t>
        </is>
      </c>
      <c r="G4" s="4" t="inlineStr">
        <is>
          <t>App runs locally; lint/typecheck pass; secrets excluded; conventions documented.</t>
        </is>
      </c>
      <c r="H4" s="4" t="inlineStr">
        <is>
          <t>Eng</t>
        </is>
      </c>
      <c r="I4" s="4" t="inlineStr">
        <is>
          <t>S</t>
        </is>
      </c>
    </row>
    <row r="5">
      <c r="A5" s="4" t="inlineStr">
        <is>
          <t>M01</t>
        </is>
      </c>
      <c r="B5" s="4" t="inlineStr">
        <is>
          <t>Design system &amp; shell</t>
        </is>
      </c>
      <c r="C5" s="4" t="inlineStr">
        <is>
          <t>P0</t>
        </is>
      </c>
      <c r="D5" s="4" t="inlineStr">
        <is>
          <t>M00</t>
        </is>
      </c>
      <c r="E5" s="12" t="inlineStr">
        <is>
          <t>Done</t>
        </is>
      </c>
      <c r="F5" s="4" t="inlineStr">
        <is>
          <t>Typography, spacing, header/footer, buttons/cards/forms, responsive container</t>
        </is>
      </c>
      <c r="G5" s="4" t="inlineStr">
        <is>
          <t>Consistent layout on mobile/desktop; reusable primitives; no feature business logic yet.</t>
        </is>
      </c>
      <c r="H5" s="4" t="inlineStr">
        <is>
          <t>Frontend</t>
        </is>
      </c>
      <c r="I5" s="4" t="inlineStr">
        <is>
          <t>S</t>
        </is>
      </c>
    </row>
    <row r="6">
      <c r="A6" s="4" t="inlineStr">
        <is>
          <t>M02</t>
        </is>
      </c>
      <c r="B6" s="4" t="inlineStr">
        <is>
          <t>Supabase &amp; schema</t>
        </is>
      </c>
      <c r="C6" s="4" t="inlineStr">
        <is>
          <t>P0</t>
        </is>
      </c>
      <c r="D6" s="4" t="inlineStr">
        <is>
          <t>M00</t>
        </is>
      </c>
      <c r="E6" s="12" t="inlineStr">
        <is>
          <t>Done</t>
        </is>
      </c>
      <c r="F6" s="4" t="inlineStr">
        <is>
          <t>Supabase project config, migrations, data model, seed script</t>
        </is>
      </c>
      <c r="G6" s="4" t="inlineStr">
        <is>
          <t>Schema matches PRD; migrations reproducible; seed creates usable catalog data.</t>
        </is>
      </c>
      <c r="H6" s="4" t="inlineStr">
        <is>
          <t>Backend</t>
        </is>
      </c>
      <c r="I6" s="4" t="inlineStr">
        <is>
          <t>M</t>
        </is>
      </c>
    </row>
    <row r="7">
      <c r="A7" s="4" t="inlineStr">
        <is>
          <t>M03</t>
        </is>
      </c>
      <c r="B7" s="4" t="inlineStr">
        <is>
          <t>Authentication &amp; authorization</t>
        </is>
      </c>
      <c r="C7" s="4" t="inlineStr">
        <is>
          <t>P0</t>
        </is>
      </c>
      <c r="D7" s="4" t="inlineStr">
        <is>
          <t>M02</t>
        </is>
      </c>
      <c r="E7" s="12" t="inlineStr">
        <is>
          <t>In Progress</t>
        </is>
      </c>
      <c r="F7" s="4" t="inlineStr">
        <is>
          <t>Login/register/session, profiles, customer/admin roles, RLS</t>
        </is>
      </c>
      <c r="G7" s="4" t="inlineStr">
        <is>
          <t>Customer/admin access tests pass; privilege escalation blocked.</t>
        </is>
      </c>
      <c r="H7" s="4" t="inlineStr">
        <is>
          <t>Backend</t>
        </is>
      </c>
      <c r="I7" s="4" t="inlineStr">
        <is>
          <t>M</t>
        </is>
      </c>
    </row>
    <row r="8">
      <c r="A8" s="4" t="inlineStr">
        <is>
          <t>M04</t>
        </is>
      </c>
      <c r="B8" s="4" t="inlineStr">
        <is>
          <t>Catalog</t>
        </is>
      </c>
      <c r="C8" s="4" t="inlineStr">
        <is>
          <t>P0</t>
        </is>
      </c>
      <c r="D8" s="4" t="inlineStr">
        <is>
          <t>M01,M02</t>
        </is>
      </c>
      <c r="E8" s="12" t="inlineStr">
        <is>
          <t>Done</t>
        </is>
      </c>
      <c r="F8" s="4" t="inlineStr">
        <is>
          <t>Shop, category, product detail, images, variants, availability</t>
        </is>
      </c>
      <c r="G8" s="4" t="inlineStr">
        <is>
          <t>Active catalog renders from DB; invalid/inactive routes handled; responsive.</t>
        </is>
      </c>
      <c r="H8" s="4" t="inlineStr">
        <is>
          <t>Full Stack</t>
        </is>
      </c>
      <c r="I8" s="4" t="inlineStr">
        <is>
          <t>M</t>
        </is>
      </c>
    </row>
    <row r="9">
      <c r="A9" s="4" t="inlineStr">
        <is>
          <t>M05</t>
        </is>
      </c>
      <c r="B9" s="4" t="inlineStr">
        <is>
          <t>Search &amp; filters</t>
        </is>
      </c>
      <c r="C9" s="4" t="inlineStr">
        <is>
          <t>P1</t>
        </is>
      </c>
      <c r="D9" s="4" t="inlineStr">
        <is>
          <t>M04</t>
        </is>
      </c>
      <c r="E9" s="12" t="inlineStr">
        <is>
          <t>Done</t>
        </is>
      </c>
      <c r="F9" s="4" t="inlineStr">
        <is>
          <t>Basic search/category/availability filtering</t>
        </is>
      </c>
      <c r="G9" s="4" t="inlineStr">
        <is>
          <t>URL/state predictable; no overbuilt search service.</t>
        </is>
      </c>
      <c r="H9" s="4" t="inlineStr">
        <is>
          <t>Full Stack</t>
        </is>
      </c>
      <c r="I9" s="4" t="inlineStr">
        <is>
          <t>S</t>
        </is>
      </c>
    </row>
    <row r="10" ht="90" customHeight="1">
      <c r="A10" s="4" t="inlineStr">
        <is>
          <t>M06</t>
        </is>
      </c>
      <c r="B10" s="4" t="inlineStr">
        <is>
          <t>Cart</t>
        </is>
      </c>
      <c r="C10" s="4" t="inlineStr">
        <is>
          <t>P0</t>
        </is>
      </c>
      <c r="D10" s="4" t="inlineStr">
        <is>
          <t>M04</t>
        </is>
      </c>
      <c r="E10" s="12" t="inlineStr">
        <is>
          <t>Done</t>
        </is>
      </c>
      <c r="F10" s="4" t="inlineStr">
        <is>
          <t>Add/update/remove, persistence, subtotal display, empty/error/loading states. Database/RLS, cookie, Server Actions, UI and guest/account browser flows verified on 2026-09-23.</t>
        </is>
      </c>
      <c r="G10" s="4" t="inlineStr">
        <is>
          <t>Variant-aware; positive integer quantity within stock; current server prices/subtotal. Secure 30-day hashed guest identity; separate account carts, no merge. Complete only after end-to-end verification.</t>
        </is>
      </c>
      <c r="H10" s="4" t="inlineStr">
        <is>
          <t>Full Stack</t>
        </is>
      </c>
      <c r="I10" s="4" t="inlineStr">
        <is>
          <t>M</t>
        </is>
      </c>
    </row>
    <row r="11" ht="130" customHeight="1">
      <c r="A11" s="4" t="inlineStr">
        <is>
          <t>M07</t>
        </is>
      </c>
      <c r="B11" s="4" t="inlineStr">
        <is>
          <t>Checkout foundation</t>
        </is>
      </c>
      <c r="C11" s="4" t="inlineStr">
        <is>
          <t>P0</t>
        </is>
      </c>
      <c r="D11" s="4" t="inlineStr">
        <is>
          <t>M03,M06</t>
        </is>
      </c>
      <c r="E11" s="12" t="inlineStr">
        <is>
          <t>In Progress</t>
        </is>
      </c>
      <c r="F11" s="4" t="inlineStr">
        <is>
          <t>PH address collection/account reuse, authoritative PHP merchandise quote, discount validation. Implementation checks pass; broader M03 dependency verification remains incomplete.</t>
        </is>
      </c>
      <c r="G11" s="4" t="inlineStr">
        <is>
          <t>Server computes merchandise totals; invalid coupons/stock rejected. Tax included; shipping/final payable total pending. One coupon; global usage checked without consumption. Account addresses isolated.</t>
        </is>
      </c>
      <c r="H11" s="4" t="inlineStr">
        <is>
          <t>Backend</t>
        </is>
      </c>
      <c r="I11" s="4" t="inlineStr">
        <is>
          <t>M</t>
        </is>
      </c>
    </row>
    <row r="12">
      <c r="A12" s="4" t="inlineStr">
        <is>
          <t>M08</t>
        </is>
      </c>
      <c r="B12" s="4" t="inlineStr">
        <is>
          <t>PayMongo payment</t>
        </is>
      </c>
      <c r="C12" s="4" t="inlineStr">
        <is>
          <t>P0</t>
        </is>
      </c>
      <c r="D12" s="4" t="inlineStr">
        <is>
          <t>M07</t>
        </is>
      </c>
      <c r="E12" s="12" t="inlineStr">
        <is>
          <t>In Progress</t>
        </is>
      </c>
      <c r="F12" s="4" t="inlineStr">
        <is>
          <t>PayMongo hosted checkout session and safe metadata; merchandise-only charge (shipping paid to courier on delivery)</t>
        </is>
      </c>
      <c r="G12" s="4" t="inlineStr">
        <is>
          <t>Client cannot choose price/total; test payment can complete.</t>
        </is>
      </c>
      <c r="H12" s="4" t="inlineStr">
        <is>
          <t>Backend</t>
        </is>
      </c>
      <c r="I12" s="4" t="inlineStr">
        <is>
          <t>M</t>
        </is>
      </c>
    </row>
    <row r="13">
      <c r="A13" s="4" t="inlineStr">
        <is>
          <t>M09</t>
        </is>
      </c>
      <c r="B13" s="4" t="inlineStr">
        <is>
          <t>Webhook &amp; order creation</t>
        </is>
      </c>
      <c r="C13" s="4" t="inlineStr">
        <is>
          <t>P0</t>
        </is>
      </c>
      <c r="D13" s="4" t="inlineStr">
        <is>
          <t>M08</t>
        </is>
      </c>
      <c r="E13" s="12" t="inlineStr">
        <is>
          <t>In Progress</t>
        </is>
      </c>
      <c r="F13" s="4" t="inlineStr">
        <is>
          <t>Signature verification, idempotency, order snapshots, payment state, inventory adjustment</t>
        </is>
      </c>
      <c r="G13" s="4" t="inlineStr">
        <is>
          <t>Duplicate webhook safe; browser close after pay still produces correct order; no double inventory deduction.</t>
        </is>
      </c>
      <c r="H13" s="4" t="inlineStr">
        <is>
          <t>Backend</t>
        </is>
      </c>
      <c r="I13" s="4" t="inlineStr">
        <is>
          <t>L</t>
        </is>
      </c>
    </row>
    <row r="14">
      <c r="A14" s="4" t="inlineStr">
        <is>
          <t>M10</t>
        </is>
      </c>
      <c r="B14" s="4" t="inlineStr">
        <is>
          <t>Customer account</t>
        </is>
      </c>
      <c r="C14" s="4" t="inlineStr">
        <is>
          <t>P1</t>
        </is>
      </c>
      <c r="D14" s="4" t="inlineStr">
        <is>
          <t>M03,M09</t>
        </is>
      </c>
      <c r="E14" s="12" t="inlineStr">
        <is>
          <t>In Progress</t>
        </is>
      </c>
      <c r="F14" s="4" t="inlineStr">
        <is>
          <t>Order history/detail, addresses, settings</t>
        </is>
      </c>
      <c r="G14" s="4" t="inlineStr">
        <is>
          <t>Users only see own data; empty/loading/error states included.</t>
        </is>
      </c>
      <c r="H14" s="4" t="inlineStr">
        <is>
          <t>Full Stack</t>
        </is>
      </c>
      <c r="I14" s="4" t="inlineStr">
        <is>
          <t>M</t>
        </is>
      </c>
    </row>
    <row r="15">
      <c r="A15" s="4" t="inlineStr">
        <is>
          <t>M11</t>
        </is>
      </c>
      <c r="B15" s="4" t="inlineStr">
        <is>
          <t>Admin products/categories/inventory</t>
        </is>
      </c>
      <c r="C15" s="4" t="inlineStr">
        <is>
          <t>P1</t>
        </is>
      </c>
      <c r="D15" s="4" t="inlineStr">
        <is>
          <t>M03,M04</t>
        </is>
      </c>
      <c r="E15" s="12" t="inlineStr">
        <is>
          <t>Not Started</t>
        </is>
      </c>
      <c r="F15" s="4" t="inlineStr">
        <is>
          <t>Admin CRUD/archive and stock management</t>
        </is>
      </c>
      <c r="G15" s="4" t="inlineStr">
        <is>
          <t>All mutations admin-only; images validated; no destructive accidental deletion.</t>
        </is>
      </c>
      <c r="H15" s="4" t="inlineStr">
        <is>
          <t>Full Stack</t>
        </is>
      </c>
      <c r="I15" s="4" t="inlineStr">
        <is>
          <t>L</t>
        </is>
      </c>
    </row>
    <row r="16">
      <c r="A16" s="4" t="inlineStr">
        <is>
          <t>M12</t>
        </is>
      </c>
      <c r="B16" s="4" t="inlineStr">
        <is>
          <t>Admin orders</t>
        </is>
      </c>
      <c r="C16" s="4" t="inlineStr">
        <is>
          <t>P1</t>
        </is>
      </c>
      <c r="D16" s="4" t="inlineStr">
        <is>
          <t>M09</t>
        </is>
      </c>
      <c r="E16" s="12" t="inlineStr">
        <is>
          <t>Not Started</t>
        </is>
      </c>
      <c r="F16" s="4" t="inlineStr">
        <is>
          <t>Order list/detail and fulfillment status updates</t>
        </is>
      </c>
      <c r="G16" s="4" t="inlineStr">
        <is>
          <t>Payment status protected; fulfillment updates auditable enough for MVP.</t>
        </is>
      </c>
      <c r="H16" s="4" t="inlineStr">
        <is>
          <t>Full Stack</t>
        </is>
      </c>
      <c r="I16" s="4" t="inlineStr">
        <is>
          <t>M</t>
        </is>
      </c>
    </row>
    <row r="17">
      <c r="A17" s="4" t="inlineStr">
        <is>
          <t>M13</t>
        </is>
      </c>
      <c r="B17" s="4" t="inlineStr">
        <is>
          <t>Transactional email</t>
        </is>
      </c>
      <c r="C17" s="4" t="inlineStr">
        <is>
          <t>P1</t>
        </is>
      </c>
      <c r="D17" s="4" t="inlineStr">
        <is>
          <t>M09</t>
        </is>
      </c>
      <c r="E17" s="12" t="inlineStr">
        <is>
          <t>Not Started</t>
        </is>
      </c>
      <c r="F17" s="4" t="inlineStr">
        <is>
          <t>Order confirmation email</t>
        </is>
      </c>
      <c r="G17" s="4" t="inlineStr">
        <is>
          <t>Sent once per paid order event; failure is logged without corrupting order.</t>
        </is>
      </c>
      <c r="H17" s="4" t="inlineStr">
        <is>
          <t>Backend</t>
        </is>
      </c>
      <c r="I17" s="4" t="inlineStr">
        <is>
          <t>S</t>
        </is>
      </c>
    </row>
    <row r="18">
      <c r="A18" s="4" t="inlineStr">
        <is>
          <t>M14</t>
        </is>
      </c>
      <c r="B18" s="4" t="inlineStr">
        <is>
          <t>Observability &amp; analytics</t>
        </is>
      </c>
      <c r="C18" s="4" t="inlineStr">
        <is>
          <t>P1</t>
        </is>
      </c>
      <c r="D18" s="4" t="inlineStr">
        <is>
          <t>M00</t>
        </is>
      </c>
      <c r="E18" s="12" t="inlineStr">
        <is>
          <t>Not Started</t>
        </is>
      </c>
      <c r="F18" s="4" t="inlineStr">
        <is>
          <t>Sentry; basic analytics</t>
        </is>
      </c>
      <c r="G18" s="4" t="inlineStr">
        <is>
          <t>Production errors visible; no secrets/PII leakage in logs.</t>
        </is>
      </c>
      <c r="H18" s="4" t="inlineStr">
        <is>
          <t>Eng</t>
        </is>
      </c>
      <c r="I18" s="4" t="inlineStr">
        <is>
          <t>S</t>
        </is>
      </c>
    </row>
    <row r="19">
      <c r="A19" s="4" t="inlineStr">
        <is>
          <t>M15</t>
        </is>
      </c>
      <c r="B19" s="4" t="inlineStr">
        <is>
          <t>Security &amp; abuse review</t>
        </is>
      </c>
      <c r="C19" s="4" t="inlineStr">
        <is>
          <t>P0</t>
        </is>
      </c>
      <c r="D19" s="4" t="inlineStr">
        <is>
          <t>M03-M14</t>
        </is>
      </c>
      <c r="E19" s="12" t="inlineStr">
        <is>
          <t>Not Started</t>
        </is>
      </c>
      <c r="F19" s="4" t="inlineStr">
        <is>
          <t>RLS review, price tampering, role abuse, upload validation, webhook replay checks</t>
        </is>
      </c>
      <c r="G19" s="4" t="inlineStr">
        <is>
          <t>Critical abuse cases in test matrix pass.</t>
        </is>
      </c>
      <c r="H19" s="4" t="inlineStr">
        <is>
          <t>Security</t>
        </is>
      </c>
      <c r="I19" s="4" t="inlineStr">
        <is>
          <t>M</t>
        </is>
      </c>
    </row>
    <row r="20">
      <c r="A20" s="4" t="inlineStr">
        <is>
          <t>M16</t>
        </is>
      </c>
      <c r="B20" s="4" t="inlineStr">
        <is>
          <t>QA &amp; launch</t>
        </is>
      </c>
      <c r="C20" s="4" t="inlineStr">
        <is>
          <t>P0</t>
        </is>
      </c>
      <c r="D20" s="4" t="inlineStr">
        <is>
          <t>M15</t>
        </is>
      </c>
      <c r="E20" s="12" t="inlineStr">
        <is>
          <t>Not Started</t>
        </is>
      </c>
      <c r="F20" s="4" t="inlineStr">
        <is>
          <t>E2E critical path, performance/accessibility sanity, production env/deploy</t>
        </is>
      </c>
      <c r="G20" s="4" t="inlineStr">
        <is>
          <t>Launch checklist complete; critical P0/P1 defects closed.</t>
        </is>
      </c>
      <c r="H20" s="4" t="inlineStr">
        <is>
          <t>Team</t>
        </is>
      </c>
      <c r="I20" s="4" t="inlineStr">
        <is>
          <t>M</t>
        </is>
      </c>
    </row>
  </sheetData>
  <autoFilter ref="A3:I20"/>
  <mergeCells count="1">
    <mergeCell ref="A1:I1"/>
  </mergeCells>
  <dataValidations count="2">
    <dataValidation sqref="E4:E20" showDropDown="0" showInputMessage="0" showErrorMessage="0" allowBlank="0" type="list">
      <formula1>"Not Started,In Progress,Blocked,Done"</formula1>
    </dataValidation>
    <dataValidation sqref="C4:C20" showDropDown="0" showInputMessage="0" showErrorMessage="0" allowBlank="0" type="list">
      <formula1>"P0,P1,P2"</formula1>
    </dataValidation>
  </dataValidations>
  <pageMargins left="0.75" right="0.75" top="1" bottom="1" header="0.5" footer="0.5"/>
</worksheet>
</file>

<file path=xl/worksheets/sheet10.xml><?xml version="1.0" encoding="utf-8"?>
<worksheet xmlns="http://schemas.openxmlformats.org/spreadsheetml/2006/main">
  <sheetPr>
    <tabColor rgb="007C3AED"/>
    <outlinePr summaryBelow="1" summaryRight="1"/>
    <pageSetUpPr/>
  </sheetPr>
  <dimension ref="A1:G13"/>
  <sheetViews>
    <sheetView showGridLines="0" workbookViewId="0">
      <pane ySplit="3" topLeftCell="A4" activePane="bottomLeft" state="frozen"/>
      <selection pane="bottomLeft" activeCell="A1" sqref="A1"/>
    </sheetView>
  </sheetViews>
  <sheetFormatPr baseColWidth="8" defaultRowHeight="15"/>
  <cols>
    <col width="11" customWidth="1" min="1" max="1"/>
    <col width="18" customWidth="1" min="2" max="2"/>
    <col width="44" customWidth="1" min="3" max="3"/>
    <col width="62" customWidth="1" min="4" max="4"/>
    <col width="64" customWidth="1" min="5" max="5"/>
    <col width="15" customWidth="1" min="6" max="6"/>
    <col width="18" customWidth="1" min="7" max="7"/>
  </cols>
  <sheetData>
    <row r="1" ht="28" customHeight="1">
      <c r="A1" s="1" t="inlineStr">
        <is>
          <t>User Stories &amp; Acceptance Criteria</t>
        </is>
      </c>
      <c r="B1" s="2" t="n"/>
      <c r="C1" s="2" t="n"/>
      <c r="D1" s="2" t="n"/>
      <c r="E1" s="2" t="n"/>
      <c r="F1" s="2" t="n"/>
      <c r="G1" s="2" t="n"/>
    </row>
    <row r="2">
      <c r="A2" s="2" t="n"/>
      <c r="B2" s="2" t="n"/>
      <c r="C2" s="2" t="n"/>
      <c r="D2" s="2" t="n"/>
      <c r="E2" s="2" t="n"/>
      <c r="F2" s="2" t="n"/>
      <c r="G2" s="2" t="n"/>
    </row>
    <row r="3" ht="30" customHeight="1">
      <c r="A3" s="5" t="inlineStr">
        <is>
          <t>ID</t>
        </is>
      </c>
      <c r="B3" s="5" t="inlineStr">
        <is>
          <t>Persona</t>
        </is>
      </c>
      <c r="C3" s="5" t="inlineStr">
        <is>
          <t>Story</t>
        </is>
      </c>
      <c r="D3" s="5" t="inlineStr">
        <is>
          <t>Acceptance Criteria</t>
        </is>
      </c>
      <c r="E3" s="5" t="inlineStr">
        <is>
          <t>Out of Scope / Notes</t>
        </is>
      </c>
      <c r="F3" s="5" t="inlineStr">
        <is>
          <t>Priority</t>
        </is>
      </c>
      <c r="G3" s="5" t="inlineStr">
        <is>
          <t>Milestone</t>
        </is>
      </c>
    </row>
    <row r="4">
      <c r="A4" s="4" t="inlineStr">
        <is>
          <t>US-001</t>
        </is>
      </c>
      <c r="B4" s="4" t="inlineStr">
        <is>
          <t>Shopper</t>
        </is>
      </c>
      <c r="C4" s="4" t="inlineStr">
        <is>
          <t>As a shopper, I can browse active products so I can discover items to buy</t>
        </is>
      </c>
      <c r="D4" s="4" t="inlineStr">
        <is>
          <t>Only active products display; cards show image/name/price/availability; mobile/desktop usable; empty/error/loading states exist.</t>
        </is>
      </c>
      <c r="E4" s="4" t="inlineStr">
        <is>
          <t>No recommendation engine.</t>
        </is>
      </c>
      <c r="F4" s="4" t="inlineStr">
        <is>
          <t>P0</t>
        </is>
      </c>
      <c r="G4" s="4" t="inlineStr">
        <is>
          <t>M04</t>
        </is>
      </c>
    </row>
    <row r="5">
      <c r="A5" s="4" t="inlineStr">
        <is>
          <t>US-002</t>
        </is>
      </c>
      <c r="B5" s="4" t="inlineStr">
        <is>
          <t>Shopper</t>
        </is>
      </c>
      <c r="C5" s="4" t="inlineStr">
        <is>
          <t>As a shopper, I can view a product and choose a valid variant</t>
        </is>
      </c>
      <c r="D5" s="4" t="inlineStr">
        <is>
          <t>Variant selection updates price/availability; sold-out state disables add-to-cart; invalid slug returns 404/not found.</t>
        </is>
      </c>
      <c r="E5" s="4" t="inlineStr">
        <is>
          <t>No reviews.</t>
        </is>
      </c>
      <c r="F5" s="4" t="inlineStr">
        <is>
          <t>P0</t>
        </is>
      </c>
      <c r="G5" s="4" t="inlineStr">
        <is>
          <t>M04</t>
        </is>
      </c>
    </row>
    <row r="6" ht="90" customHeight="1">
      <c r="A6" s="4" t="inlineStr">
        <is>
          <t>US-003</t>
        </is>
      </c>
      <c r="B6" s="4" t="inlineStr">
        <is>
          <t>Shopper</t>
        </is>
      </c>
      <c r="C6" s="4" t="inlineStr">
        <is>
          <t>As a shopper, I can add a variant to cart and edit quantities</t>
        </is>
      </c>
      <c r="D6" s="4" t="inlineStr">
        <is>
          <t>Same variant increments/updates; nonpositive quantities rejected except explicit removal; cannot exceed current stock. Cart persists: 30-day secure guest cookie or separate account cart; no automatic merge.</t>
        </is>
      </c>
      <c r="E6" s="4" t="inlineStr">
        <is>
          <t>Server derives current prices, line totals and subtotal; browser amounts have no authority. No reservation or stock deduction.</t>
        </is>
      </c>
      <c r="F6" s="4" t="inlineStr">
        <is>
          <t>P0</t>
        </is>
      </c>
      <c r="G6" s="4" t="inlineStr">
        <is>
          <t>M06</t>
        </is>
      </c>
    </row>
    <row r="7" ht="145" customHeight="1">
      <c r="A7" s="4" t="inlineStr">
        <is>
          <t>US-004</t>
        </is>
      </c>
      <c r="B7" s="4" t="inlineStr">
        <is>
          <t>Shopper</t>
        </is>
      </c>
      <c r="C7" s="4" t="inlineStr">
        <is>
          <t>As a shopper, I can apply a valid discount code</t>
        </is>
      </c>
      <c r="D7" s="4" t="inlineStr">
        <is>
          <t>Server validates active dates, fixed/percentage rules and global usage count. Invalid/expired/exhausted code gives a clear error. Server recalculates merchandise total; cap at subtotal and round percentage discount half-up to centavos.</t>
        </is>
      </c>
      <c r="E7" s="4" t="inlineStr">
        <is>
          <t>One trimmed, case-sensitive code. Quote consumes no use. PHP; tax included; shipping and final payable total pending confirmation.</t>
        </is>
      </c>
      <c r="F7" s="4" t="inlineStr">
        <is>
          <t>P1</t>
        </is>
      </c>
      <c r="G7" s="4" t="inlineStr">
        <is>
          <t>M07</t>
        </is>
      </c>
    </row>
    <row r="8">
      <c r="A8" s="4" t="inlineStr">
        <is>
          <t>US-005</t>
        </is>
      </c>
      <c r="B8" s="4" t="inlineStr">
        <is>
          <t>Shopper</t>
        </is>
      </c>
      <c r="C8" s="4" t="inlineStr">
        <is>
          <t>As a shopper, I can pay securely</t>
        </is>
      </c>
      <c r="D8" s="4" t="inlineStr">
        <is>
          <t>Server creates payment with authoritative amount; payment UI never receives server secret; cancellation/failure handled.</t>
        </is>
      </c>
      <c r="E8" s="4" t="inlineStr">
        <is>
          <t>PayMongo only for MVP (M08-P01).</t>
        </is>
      </c>
      <c r="F8" s="4" t="inlineStr">
        <is>
          <t>P0</t>
        </is>
      </c>
      <c r="G8" s="4" t="inlineStr">
        <is>
          <t>M08</t>
        </is>
      </c>
    </row>
    <row r="9">
      <c r="A9" s="4" t="inlineStr">
        <is>
          <t>US-006</t>
        </is>
      </c>
      <c r="B9" s="4" t="inlineStr">
        <is>
          <t>Buyer</t>
        </is>
      </c>
      <c r="C9" s="4" t="inlineStr">
        <is>
          <t>As a buyer, my successful payment creates exactly one correct order</t>
        </is>
      </c>
      <c r="D9" s="4" t="inlineStr">
        <is>
          <t>Verified webhook; duplicate events are idempotent; item names/SKUs/prices snapshot; totals match charged amount; inventory adjusts once.</t>
        </is>
      </c>
      <c r="E9" s="4" t="inlineStr">
        <is>
          <t>Redirect alone cannot mark paid.</t>
        </is>
      </c>
      <c r="F9" s="4" t="inlineStr">
        <is>
          <t>P0</t>
        </is>
      </c>
      <c r="G9" s="4" t="inlineStr">
        <is>
          <t>M09</t>
        </is>
      </c>
    </row>
    <row r="10">
      <c r="A10" s="4" t="inlineStr">
        <is>
          <t>US-007</t>
        </is>
      </c>
      <c r="B10" s="4" t="inlineStr">
        <is>
          <t>Customer</t>
        </is>
      </c>
      <c r="C10" s="4" t="inlineStr">
        <is>
          <t>As a customer, I can see my order history</t>
        </is>
      </c>
      <c r="D10" s="4" t="inlineStr">
        <is>
          <t>Authenticated user sees only own orders; detail route verifies ownership; empty state exists.</t>
        </is>
      </c>
      <c r="E10" s="4" t="inlineStr">
        <is>
          <t>No cross-user access.</t>
        </is>
      </c>
      <c r="F10" s="4" t="inlineStr">
        <is>
          <t>P1</t>
        </is>
      </c>
      <c r="G10" s="4" t="inlineStr">
        <is>
          <t>M10</t>
        </is>
      </c>
    </row>
    <row r="11">
      <c r="A11" s="4" t="inlineStr">
        <is>
          <t>US-008</t>
        </is>
      </c>
      <c r="B11" s="4" t="inlineStr">
        <is>
          <t>Admin</t>
        </is>
      </c>
      <c r="C11" s="4" t="inlineStr">
        <is>
          <t>As an admin, I can manage catalog products and variants</t>
        </is>
      </c>
      <c r="D11" s="4" t="inlineStr">
        <is>
          <t>Create/edit/archive; SKU validation; image upload constraints; server role check + RLS.</t>
        </is>
      </c>
      <c r="E11" s="4" t="inlineStr">
        <is>
          <t>No bulk import in MVP.</t>
        </is>
      </c>
      <c r="F11" s="4" t="inlineStr">
        <is>
          <t>P1</t>
        </is>
      </c>
      <c r="G11" s="4" t="inlineStr">
        <is>
          <t>M11</t>
        </is>
      </c>
    </row>
    <row r="12">
      <c r="A12" s="4" t="inlineStr">
        <is>
          <t>US-009</t>
        </is>
      </c>
      <c r="B12" s="4" t="inlineStr">
        <is>
          <t>Admin</t>
        </is>
      </c>
      <c r="C12" s="4" t="inlineStr">
        <is>
          <t>As an admin, I can manage inventory</t>
        </is>
      </c>
      <c r="D12" s="4" t="inlineStr">
        <is>
          <t>Adjust variant stock; cannot access as customer; changes reflected in storefront availability.</t>
        </is>
      </c>
      <c r="E12" s="4" t="inlineStr">
        <is>
          <t>No warehouse/multi-location inventory.</t>
        </is>
      </c>
      <c r="F12" s="4" t="inlineStr">
        <is>
          <t>P1</t>
        </is>
      </c>
      <c r="G12" s="4" t="inlineStr">
        <is>
          <t>M11</t>
        </is>
      </c>
    </row>
    <row r="13">
      <c r="A13" s="4" t="inlineStr">
        <is>
          <t>US-010</t>
        </is>
      </c>
      <c r="B13" s="4" t="inlineStr">
        <is>
          <t>Admin</t>
        </is>
      </c>
      <c r="C13" s="4" t="inlineStr">
        <is>
          <t>As an admin, I can manage order fulfillment</t>
        </is>
      </c>
      <c r="D13" s="4" t="inlineStr">
        <is>
          <t>View orders and update allowed fulfillment statuses; payment status protected; order detail complete.</t>
        </is>
      </c>
      <c r="E13" s="4" t="inlineStr">
        <is>
          <t>No shipping-carrier API required.</t>
        </is>
      </c>
      <c r="F13" s="4" t="inlineStr">
        <is>
          <t>P1</t>
        </is>
      </c>
      <c r="G13" s="4" t="inlineStr">
        <is>
          <t>M12</t>
        </is>
      </c>
    </row>
  </sheetData>
  <autoFilter ref="A3:G13"/>
  <mergeCells count="1">
    <mergeCell ref="A1:G1"/>
  </mergeCells>
  <pageMargins left="0.75" right="0.75" top="1" bottom="1" header="0.5" footer="0.5"/>
</worksheet>
</file>

<file path=xl/worksheets/sheet11.xml><?xml version="1.0" encoding="utf-8"?>
<worksheet xmlns="http://schemas.openxmlformats.org/spreadsheetml/2006/main">
  <sheetPr>
    <tabColor rgb="000F766E"/>
    <outlinePr summaryBelow="1" summaryRight="1"/>
    <pageSetUpPr/>
  </sheetPr>
  <dimension ref="A1:D20"/>
  <sheetViews>
    <sheetView showGridLines="0" workbookViewId="0">
      <pane ySplit="3" topLeftCell="A4" activePane="bottomLeft" state="frozen"/>
      <selection pane="bottomLeft" activeCell="A1" sqref="A1"/>
    </sheetView>
  </sheetViews>
  <sheetFormatPr baseColWidth="8" defaultRowHeight="15"/>
  <cols>
    <col width="30" customWidth="1" min="1" max="1"/>
    <col width="24" customWidth="1" min="2" max="2"/>
    <col width="70" customWidth="1" min="3" max="3"/>
    <col width="56" customWidth="1" min="4" max="4"/>
  </cols>
  <sheetData>
    <row r="1" ht="28" customHeight="1">
      <c r="A1" s="1" t="inlineStr">
        <is>
          <t>Reusable Component Inventory</t>
        </is>
      </c>
      <c r="B1" s="2" t="n"/>
      <c r="C1" s="2" t="n"/>
      <c r="D1" s="2" t="n"/>
    </row>
    <row r="2">
      <c r="A2" s="2" t="n"/>
      <c r="B2" s="2" t="n"/>
      <c r="C2" s="2" t="n"/>
      <c r="D2" s="2" t="n"/>
    </row>
    <row r="3" ht="30" customHeight="1">
      <c r="A3" s="5" t="inlineStr">
        <is>
          <t>Component</t>
        </is>
      </c>
      <c r="B3" s="5" t="inlineStr">
        <is>
          <t>Category</t>
        </is>
      </c>
      <c r="C3" s="5" t="inlineStr">
        <is>
          <t>Responsibility</t>
        </is>
      </c>
      <c r="D3" s="5" t="inlineStr">
        <is>
          <t>Rule</t>
        </is>
      </c>
    </row>
    <row r="4">
      <c r="A4" s="4" t="inlineStr">
        <is>
          <t>ProductCard</t>
        </is>
      </c>
      <c r="B4" s="4" t="inlineStr">
        <is>
          <t>Catalog</t>
        </is>
      </c>
      <c r="C4" s="4" t="inlineStr">
        <is>
          <t>Image, name, price, availability, link</t>
        </is>
      </c>
      <c r="D4" s="4" t="inlineStr">
        <is>
          <t>No data fetching inside if parent can pass data cleanly.</t>
        </is>
      </c>
    </row>
    <row r="5">
      <c r="A5" s="4" t="inlineStr">
        <is>
          <t>ProductGrid</t>
        </is>
      </c>
      <c r="B5" s="4" t="inlineStr">
        <is>
          <t>Catalog</t>
        </is>
      </c>
      <c r="C5" s="4" t="inlineStr">
        <is>
          <t>Responsive collection of ProductCard</t>
        </is>
      </c>
      <c r="D5" s="4" t="inlineStr">
        <is>
          <t>Handles empty state via composition.</t>
        </is>
      </c>
    </row>
    <row r="6">
      <c r="A6" s="4" t="inlineStr">
        <is>
          <t>ProductGallery</t>
        </is>
      </c>
      <c r="B6" s="4" t="inlineStr">
        <is>
          <t>Product</t>
        </is>
      </c>
      <c r="C6" s="4" t="inlineStr">
        <is>
          <t>Main image/thumbnails</t>
        </is>
      </c>
      <c r="D6" s="4" t="inlineStr">
        <is>
          <t>Accessible alt text.</t>
        </is>
      </c>
    </row>
    <row r="7">
      <c r="A7" s="4" t="inlineStr">
        <is>
          <t>VariantSelector</t>
        </is>
      </c>
      <c r="B7" s="4" t="inlineStr">
        <is>
          <t>Product</t>
        </is>
      </c>
      <c r="C7" s="4" t="inlineStr">
        <is>
          <t>Select variant/options</t>
        </is>
      </c>
      <c r="D7" s="4" t="inlineStr">
        <is>
          <t>Client component; no price authority.</t>
        </is>
      </c>
    </row>
    <row r="8">
      <c r="A8" s="4" t="inlineStr">
        <is>
          <t>PriceDisplay</t>
        </is>
      </c>
      <c r="B8" s="4" t="inlineStr">
        <is>
          <t>Product</t>
        </is>
      </c>
      <c r="C8" s="4" t="inlineStr">
        <is>
          <t>Formatted price/compare-at price</t>
        </is>
      </c>
      <c r="D8" s="4" t="inlineStr">
        <is>
          <t>Formatting only.</t>
        </is>
      </c>
    </row>
    <row r="9">
      <c r="A9" s="4" t="inlineStr">
        <is>
          <t>QuantitySelector</t>
        </is>
      </c>
      <c r="B9" s="4" t="inlineStr">
        <is>
          <t>Commerce</t>
        </is>
      </c>
      <c r="C9" s="4" t="inlineStr">
        <is>
          <t>Increment/decrement with limits</t>
        </is>
      </c>
      <c r="D9" s="4" t="inlineStr">
        <is>
          <t>Never bypass server inventory validation.</t>
        </is>
      </c>
    </row>
    <row r="10">
      <c r="A10" s="4" t="inlineStr">
        <is>
          <t>AddToCartButton</t>
        </is>
      </c>
      <c r="B10" s="4" t="inlineStr">
        <is>
          <t>Commerce</t>
        </is>
      </c>
      <c r="C10" s="4" t="inlineStr">
        <is>
          <t>Cart mutation UX</t>
        </is>
      </c>
      <c r="D10" s="4" t="inlineStr">
        <is>
          <t>Disabled when invalid/sold out; loading state.</t>
        </is>
      </c>
    </row>
    <row r="11">
      <c r="A11" s="4" t="inlineStr">
        <is>
          <t>CartItem</t>
        </is>
      </c>
      <c r="B11" s="4" t="inlineStr">
        <is>
          <t>Cart</t>
        </is>
      </c>
      <c r="C11" s="4" t="inlineStr">
        <is>
          <t>Line item edit/remove</t>
        </is>
      </c>
      <c r="D11" s="4" t="inlineStr">
        <is>
          <t>Reusable in cart drawer/page if both exist.</t>
        </is>
      </c>
    </row>
    <row r="12">
      <c r="A12" s="4" t="inlineStr">
        <is>
          <t>CartSummary</t>
        </is>
      </c>
      <c r="B12" s="4" t="inlineStr">
        <is>
          <t>Cart</t>
        </is>
      </c>
      <c r="C12" s="4" t="inlineStr">
        <is>
          <t>Subtotal/discount/estimated totals display</t>
        </is>
      </c>
      <c r="D12" s="4" t="inlineStr">
        <is>
          <t>Display only; checkout server recalculates.</t>
        </is>
      </c>
    </row>
    <row r="13">
      <c r="A13" s="4" t="inlineStr">
        <is>
          <t>AddressForm</t>
        </is>
      </c>
      <c r="B13" s="4" t="inlineStr">
        <is>
          <t>Checkout/Account</t>
        </is>
      </c>
      <c r="C13" s="4" t="inlineStr">
        <is>
          <t>Address capture/edit</t>
        </is>
      </c>
      <c r="D13" s="4" t="inlineStr">
        <is>
          <t>Shared schema where possible.</t>
        </is>
      </c>
    </row>
    <row r="14">
      <c r="A14" s="4" t="inlineStr">
        <is>
          <t>CheckoutSummary</t>
        </is>
      </c>
      <c r="B14" s="4" t="inlineStr">
        <is>
          <t>Checkout</t>
        </is>
      </c>
      <c r="C14" s="4" t="inlineStr">
        <is>
          <t>Authoritative checkout breakdown returned by server</t>
        </is>
      </c>
      <c r="D14" s="4" t="inlineStr">
        <is>
          <t>No client-only money math.</t>
        </is>
      </c>
    </row>
    <row r="15">
      <c r="A15" s="4" t="inlineStr">
        <is>
          <t>OrderStatusBadge</t>
        </is>
      </c>
      <c r="B15" s="4" t="inlineStr">
        <is>
          <t>Orders</t>
        </is>
      </c>
      <c r="C15" s="4" t="inlineStr">
        <is>
          <t>Visual status token</t>
        </is>
      </c>
      <c r="D15" s="4" t="inlineStr">
        <is>
          <t>Single mapping source.</t>
        </is>
      </c>
    </row>
    <row r="16">
      <c r="A16" s="4" t="inlineStr">
        <is>
          <t>DataTable</t>
        </is>
      </c>
      <c r="B16" s="4" t="inlineStr">
        <is>
          <t>Admin</t>
        </is>
      </c>
      <c r="C16" s="4" t="inlineStr">
        <is>
          <t>Reusable table shell</t>
        </is>
      </c>
      <c r="D16" s="4" t="inlineStr">
        <is>
          <t>Do not over-generalize into framework.</t>
        </is>
      </c>
    </row>
    <row r="17">
      <c r="A17" s="4" t="inlineStr">
        <is>
          <t>ConfirmDialog</t>
        </is>
      </c>
      <c r="B17" s="4" t="inlineStr">
        <is>
          <t>Admin</t>
        </is>
      </c>
      <c r="C17" s="4" t="inlineStr">
        <is>
          <t>Destructive/archive confirmations</t>
        </is>
      </c>
      <c r="D17" s="4" t="inlineStr">
        <is>
          <t>Prefer archive for catalog.</t>
        </is>
      </c>
    </row>
    <row r="18">
      <c r="A18" s="4" t="inlineStr">
        <is>
          <t>EmptyState</t>
        </is>
      </c>
      <c r="B18" s="4" t="inlineStr">
        <is>
          <t>System</t>
        </is>
      </c>
      <c r="C18" s="4" t="inlineStr">
        <is>
          <t>Consistent empty UI</t>
        </is>
      </c>
      <c r="D18" s="4" t="inlineStr">
        <is>
          <t>Reusable.</t>
        </is>
      </c>
    </row>
    <row r="19">
      <c r="A19" s="4" t="inlineStr">
        <is>
          <t>ErrorState</t>
        </is>
      </c>
      <c r="B19" s="4" t="inlineStr">
        <is>
          <t>System</t>
        </is>
      </c>
      <c r="C19" s="4" t="inlineStr">
        <is>
          <t>Consistent recoverable error UI</t>
        </is>
      </c>
      <c r="D19" s="4" t="inlineStr">
        <is>
          <t>Do not expose stack traces.</t>
        </is>
      </c>
    </row>
    <row r="20">
      <c r="A20" s="4" t="inlineStr">
        <is>
          <t>LoadingState/Skeleton</t>
        </is>
      </c>
      <c r="B20" s="4" t="inlineStr">
        <is>
          <t>System</t>
        </is>
      </c>
      <c r="C20" s="4" t="inlineStr">
        <is>
          <t>Predictable loading UI</t>
        </is>
      </c>
      <c r="D20" s="4" t="inlineStr">
        <is>
          <t>Avoid random spinners everywhere.</t>
        </is>
      </c>
    </row>
  </sheetData>
  <autoFilter ref="A3:D20"/>
  <mergeCells count="1">
    <mergeCell ref="A1:D1"/>
  </mergeCells>
  <pageMargins left="0.75" right="0.75" top="1" bottom="1" header="0.5" footer="0.5"/>
</worksheet>
</file>

<file path=xl/worksheets/sheet12.xml><?xml version="1.0" encoding="utf-8"?>
<worksheet xmlns="http://schemas.openxmlformats.org/spreadsheetml/2006/main">
  <sheetPr>
    <tabColor rgb="00F59E0B"/>
    <outlinePr summaryBelow="1" summaryRight="1"/>
    <pageSetUpPr/>
  </sheetPr>
  <dimension ref="A1:E13"/>
  <sheetViews>
    <sheetView showGridLines="0" workbookViewId="0">
      <pane ySplit="3" topLeftCell="A4" activePane="bottomLeft" state="frozen"/>
      <selection pane="bottomLeft" activeCell="A1" sqref="A1"/>
    </sheetView>
  </sheetViews>
  <sheetFormatPr baseColWidth="8" defaultRowHeight="15"/>
  <cols>
    <col width="38" customWidth="1" min="1" max="1"/>
    <col width="16" customWidth="1" min="2" max="2"/>
    <col width="24" customWidth="1" min="3" max="3"/>
    <col width="62" customWidth="1" min="4" max="4"/>
    <col width="52" customWidth="1" min="5" max="5"/>
  </cols>
  <sheetData>
    <row r="1" ht="28" customHeight="1">
      <c r="A1" s="1" t="inlineStr">
        <is>
          <t>Environment Variables &amp; Integrations</t>
        </is>
      </c>
      <c r="B1" s="2" t="n"/>
      <c r="C1" s="2" t="n"/>
      <c r="D1" s="2" t="n"/>
      <c r="E1" s="2" t="n"/>
    </row>
    <row r="2">
      <c r="A2" s="2" t="n"/>
      <c r="B2" s="2" t="n"/>
      <c r="C2" s="2" t="n"/>
      <c r="D2" s="2" t="n"/>
      <c r="E2" s="2" t="n"/>
    </row>
    <row r="3" ht="30" customHeight="1">
      <c r="A3" s="5" t="inlineStr">
        <is>
          <t>Variable / Integration</t>
        </is>
      </c>
      <c r="B3" s="5" t="inlineStr">
        <is>
          <t>Exposure</t>
        </is>
      </c>
      <c r="C3" s="5" t="inlineStr">
        <is>
          <t>Required</t>
        </is>
      </c>
      <c r="D3" s="5" t="inlineStr">
        <is>
          <t>Purpose</t>
        </is>
      </c>
      <c r="E3" s="5" t="inlineStr">
        <is>
          <t>Rule</t>
        </is>
      </c>
    </row>
    <row r="4">
      <c r="A4" s="4" t="inlineStr">
        <is>
          <t>NEXT_PUBLIC_SUPABASE_URL</t>
        </is>
      </c>
      <c r="B4" s="4" t="inlineStr">
        <is>
          <t>Public</t>
        </is>
      </c>
      <c r="C4" s="4" t="inlineStr">
        <is>
          <t>Yes</t>
        </is>
      </c>
      <c r="D4" s="4" t="inlineStr">
        <is>
          <t>Supabase project URL</t>
        </is>
      </c>
      <c r="E4" s="4" t="inlineStr">
        <is>
          <t>Safe for browser.</t>
        </is>
      </c>
    </row>
    <row r="5">
      <c r="A5" s="4" t="inlineStr">
        <is>
          <t>NEXT_PUBLIC_SUPABASE_ANON_KEY</t>
        </is>
      </c>
      <c r="B5" s="4" t="inlineStr">
        <is>
          <t>Public</t>
        </is>
      </c>
      <c r="C5" s="4" t="inlineStr">
        <is>
          <t>Yes</t>
        </is>
      </c>
      <c r="D5" s="4" t="inlineStr">
        <is>
          <t>Supabase anonymous key</t>
        </is>
      </c>
      <c r="E5" s="4" t="inlineStr">
        <is>
          <t>RLS must make it safe.</t>
        </is>
      </c>
    </row>
    <row r="6">
      <c r="A6" s="4" t="inlineStr">
        <is>
          <t>SUPABASE_SERVICE_ROLE_KEY</t>
        </is>
      </c>
      <c r="B6" s="4" t="inlineStr">
        <is>
          <t>Server only</t>
        </is>
      </c>
      <c r="C6" s="4" t="inlineStr">
        <is>
          <t>Maybe</t>
        </is>
      </c>
      <c r="D6" s="4" t="inlineStr">
        <is>
          <t>Privileged server/admin/service operations if needed</t>
        </is>
      </c>
      <c r="E6" s="4" t="inlineStr">
        <is>
          <t>Never expose to client or NEXT_PUBLIC prefix.</t>
        </is>
      </c>
    </row>
    <row r="7">
      <c r="A7" s="4" t="inlineStr">
        <is>
          <t>NEXT_PUBLIC_STRIPE_PUBLISHABLE_KEY (removed)</t>
        </is>
      </c>
      <c r="B7" s="4" t="inlineStr">
        <is>
          <t>Public</t>
        </is>
      </c>
      <c r="C7" s="4" t="inlineStr">
        <is>
          <t>No</t>
        </is>
      </c>
      <c r="D7" s="4" t="inlineStr">
        <is>
          <t>Not used: PayMongo hosted checkout needs no public key (M08-P01).</t>
        </is>
      </c>
      <c r="E7" s="4" t="inlineStr">
        <is>
          <t>Do not configure.</t>
        </is>
      </c>
    </row>
    <row r="8">
      <c r="A8" s="4" t="inlineStr">
        <is>
          <t>PAYMONGO_SECRET_KEY</t>
        </is>
      </c>
      <c r="B8" s="4" t="inlineStr">
        <is>
          <t>Server only</t>
        </is>
      </c>
      <c r="C8" s="4" t="inlineStr">
        <is>
          <t>Yes</t>
        </is>
      </c>
      <c r="D8" s="4" t="inlineStr">
        <is>
          <t>Create PayMongo checkout sessions</t>
        </is>
      </c>
      <c r="E8" s="4" t="inlineStr">
        <is>
          <t>Never log or expose.</t>
        </is>
      </c>
    </row>
    <row r="9">
      <c r="A9" s="4" t="inlineStr">
        <is>
          <t>PAYMONGO_WEBHOOK_SECRET</t>
        </is>
      </c>
      <c r="B9" s="4" t="inlineStr">
        <is>
          <t>Server only</t>
        </is>
      </c>
      <c r="C9" s="4" t="inlineStr">
        <is>
          <t>Yes</t>
        </is>
      </c>
      <c r="D9" s="4" t="inlineStr">
        <is>
          <t>Verify PayMongo webhook signatures</t>
        </is>
      </c>
      <c r="E9" s="4" t="inlineStr">
        <is>
          <t>Required for trusted payment state.</t>
        </is>
      </c>
    </row>
    <row r="10">
      <c r="A10" s="4" t="inlineStr">
        <is>
          <t>RESEND_API_KEY</t>
        </is>
      </c>
      <c r="B10" s="4" t="inlineStr">
        <is>
          <t>Server only</t>
        </is>
      </c>
      <c r="C10" s="4" t="inlineStr">
        <is>
          <t>Yes</t>
        </is>
      </c>
      <c r="D10" s="4" t="inlineStr">
        <is>
          <t>Transactional email</t>
        </is>
      </c>
      <c r="E10" s="4" t="inlineStr">
        <is>
          <t>Server only.</t>
        </is>
      </c>
    </row>
    <row r="11">
      <c r="A11" s="4" t="inlineStr">
        <is>
          <t>NEXT_PUBLIC_APP_URL</t>
        </is>
      </c>
      <c r="B11" s="4" t="inlineStr">
        <is>
          <t>Public</t>
        </is>
      </c>
      <c r="C11" s="4" t="inlineStr">
        <is>
          <t>Yes</t>
        </is>
      </c>
      <c r="D11" s="4" t="inlineStr">
        <is>
          <t>Canonical app URL / redirects</t>
        </is>
      </c>
      <c r="E11" s="4" t="inlineStr">
        <is>
          <t>Use correct environment value.</t>
        </is>
      </c>
    </row>
    <row r="12">
      <c r="A12" s="4" t="inlineStr">
        <is>
          <t>SENTRY_DSN / related</t>
        </is>
      </c>
      <c r="B12" s="4" t="inlineStr">
        <is>
          <t>Mixed</t>
        </is>
      </c>
      <c r="C12" s="4" t="inlineStr">
        <is>
          <t>Recommended</t>
        </is>
      </c>
      <c r="D12" s="4" t="inlineStr">
        <is>
          <t>Error monitoring</t>
        </is>
      </c>
      <c r="E12" s="4" t="inlineStr">
        <is>
          <t>Scrub PII/secrets.</t>
        </is>
      </c>
    </row>
    <row r="13">
      <c r="A13" s="4" t="inlineStr">
        <is>
          <t>.env.example</t>
        </is>
      </c>
      <c r="B13" s="4" t="inlineStr">
        <is>
          <t>Repository</t>
        </is>
      </c>
      <c r="C13" s="4" t="inlineStr">
        <is>
          <t>Yes</t>
        </is>
      </c>
      <c r="D13" s="4" t="inlineStr">
        <is>
          <t>Documents required variable names</t>
        </is>
      </c>
      <c r="E13" s="4" t="inlineStr">
        <is>
          <t>Contains placeholders only, never real secrets.</t>
        </is>
      </c>
    </row>
  </sheetData>
  <autoFilter ref="A3:E13"/>
  <mergeCells count="1">
    <mergeCell ref="A1:E1"/>
  </mergeCells>
  <pageMargins left="0.75" right="0.75" top="1" bottom="1" header="0.5" footer="0.5"/>
</worksheet>
</file>

<file path=xl/worksheets/sheet13.xml><?xml version="1.0" encoding="utf-8"?>
<worksheet xmlns="http://schemas.openxmlformats.org/spreadsheetml/2006/main">
  <sheetPr>
    <tabColor rgb="00DC2626"/>
    <outlinePr summaryBelow="1" summaryRight="1"/>
    <pageSetUpPr/>
  </sheetPr>
  <dimension ref="A1:F21"/>
  <sheetViews>
    <sheetView showGridLines="0" workbookViewId="0">
      <pane ySplit="3" topLeftCell="A4" activePane="bottomLeft" state="frozen"/>
      <selection pane="bottomLeft" activeCell="A1" sqref="A1"/>
    </sheetView>
  </sheetViews>
  <sheetFormatPr baseColWidth="8" defaultRowHeight="15"/>
  <cols>
    <col width="12" customWidth="1" min="1" max="1"/>
    <col width="24" customWidth="1" min="2" max="2"/>
    <col width="48" customWidth="1" min="3" max="3"/>
    <col width="62" customWidth="1" min="4" max="4"/>
    <col width="20" customWidth="1" min="5" max="5"/>
    <col width="16" customWidth="1" min="6" max="6"/>
  </cols>
  <sheetData>
    <row r="1" ht="28" customHeight="1">
      <c r="A1" s="1" t="inlineStr">
        <is>
          <t>Critical Test Matrix</t>
        </is>
      </c>
      <c r="B1" s="2" t="n"/>
      <c r="C1" s="2" t="n"/>
      <c r="D1" s="2" t="n"/>
      <c r="E1" s="2" t="n"/>
      <c r="F1" s="2" t="n"/>
    </row>
    <row r="2">
      <c r="A2" s="2" t="n"/>
      <c r="B2" s="2" t="n"/>
      <c r="C2" s="2" t="n"/>
      <c r="D2" s="2" t="n"/>
      <c r="E2" s="2" t="n"/>
      <c r="F2" s="2" t="n"/>
    </row>
    <row r="3" ht="30" customHeight="1">
      <c r="A3" s="5" t="inlineStr">
        <is>
          <t>ID</t>
        </is>
      </c>
      <c r="B3" s="5" t="inlineStr">
        <is>
          <t>Area</t>
        </is>
      </c>
      <c r="C3" s="5" t="inlineStr">
        <is>
          <t>Scenario</t>
        </is>
      </c>
      <c r="D3" s="5" t="inlineStr">
        <is>
          <t>Expected Result</t>
        </is>
      </c>
      <c r="E3" s="5" t="inlineStr">
        <is>
          <t>Type</t>
        </is>
      </c>
      <c r="F3" s="5" t="inlineStr">
        <is>
          <t>Launch Gate</t>
        </is>
      </c>
    </row>
    <row r="4">
      <c r="A4" s="4" t="inlineStr">
        <is>
          <t>T-001</t>
        </is>
      </c>
      <c r="B4" s="4" t="inlineStr">
        <is>
          <t>Checkout</t>
        </is>
      </c>
      <c r="C4" s="4" t="inlineStr">
        <is>
          <t>Successful payment</t>
        </is>
      </c>
      <c r="D4" s="4" t="inlineStr">
        <is>
          <t>Exactly one paid order created with correct totals/items; inventory adjusted; confirmation path works.</t>
        </is>
      </c>
      <c r="E4" s="4" t="inlineStr">
        <is>
          <t>E2E</t>
        </is>
      </c>
      <c r="F4" s="4" t="inlineStr">
        <is>
          <t>P0</t>
        </is>
      </c>
    </row>
    <row r="5">
      <c r="A5" s="4" t="inlineStr">
        <is>
          <t>T-002</t>
        </is>
      </c>
      <c r="B5" s="4" t="inlineStr">
        <is>
          <t>Payments</t>
        </is>
      </c>
      <c r="C5" s="4" t="inlineStr">
        <is>
          <t>Failed payment</t>
        </is>
      </c>
      <c r="D5" s="4" t="inlineStr">
        <is>
          <t>No paid order/fulfillment; user sees recoverable failure state.</t>
        </is>
      </c>
      <c r="E5" s="4" t="inlineStr">
        <is>
          <t>E2E</t>
        </is>
      </c>
      <c r="F5" s="4" t="inlineStr">
        <is>
          <t>P0</t>
        </is>
      </c>
    </row>
    <row r="6">
      <c r="A6" s="4" t="inlineStr">
        <is>
          <t>T-003</t>
        </is>
      </c>
      <c r="B6" s="4" t="inlineStr">
        <is>
          <t>Payments</t>
        </is>
      </c>
      <c r="C6" s="4" t="inlineStr">
        <is>
          <t>Cancelled checkout</t>
        </is>
      </c>
      <c r="D6" s="4" t="inlineStr">
        <is>
          <t>Cart/order draft remains safe; nothing marked paid.</t>
        </is>
      </c>
      <c r="E6" s="4" t="inlineStr">
        <is>
          <t>E2E</t>
        </is>
      </c>
      <c r="F6" s="4" t="inlineStr">
        <is>
          <t>P0</t>
        </is>
      </c>
    </row>
    <row r="7">
      <c r="A7" s="4" t="inlineStr">
        <is>
          <t>T-004</t>
        </is>
      </c>
      <c r="B7" s="4" t="inlineStr">
        <is>
          <t>Webhook</t>
        </is>
      </c>
      <c r="C7" s="4" t="inlineStr">
        <is>
          <t>Duplicate event</t>
        </is>
      </c>
      <c r="D7" s="4" t="inlineStr">
        <is>
          <t>Second processing is no-op/idempotent; no duplicate order/email/inventory deduction.</t>
        </is>
      </c>
      <c r="E7" s="4" t="inlineStr">
        <is>
          <t>Integration</t>
        </is>
      </c>
      <c r="F7" s="4" t="inlineStr">
        <is>
          <t>P0</t>
        </is>
      </c>
    </row>
    <row r="8">
      <c r="A8" s="4" t="inlineStr">
        <is>
          <t>T-005</t>
        </is>
      </c>
      <c r="B8" s="4" t="inlineStr">
        <is>
          <t>Checkout</t>
        </is>
      </c>
      <c r="C8" s="4" t="inlineStr">
        <is>
          <t>Browser closes after payment</t>
        </is>
      </c>
      <c r="D8" s="4" t="inlineStr">
        <is>
          <t>Webhook still finalizes trusted order state.</t>
        </is>
      </c>
      <c r="E8" s="4" t="inlineStr">
        <is>
          <t>Integration</t>
        </is>
      </c>
      <c r="F8" s="4" t="inlineStr">
        <is>
          <t>P0</t>
        </is>
      </c>
    </row>
    <row r="9">
      <c r="A9" s="4" t="inlineStr">
        <is>
          <t>T-006</t>
        </is>
      </c>
      <c r="B9" s="4" t="inlineStr">
        <is>
          <t>Inventory</t>
        </is>
      </c>
      <c r="C9" s="4" t="inlineStr">
        <is>
          <t>Item becomes out of stock during checkout</t>
        </is>
      </c>
      <c r="D9" s="4" t="inlineStr">
        <is>
          <t>Server rejects or safely reconciles before final purchase per chosen strategy.</t>
        </is>
      </c>
      <c r="E9" s="4" t="inlineStr">
        <is>
          <t>Integration</t>
        </is>
      </c>
      <c r="F9" s="4" t="inlineStr">
        <is>
          <t>P0</t>
        </is>
      </c>
    </row>
    <row r="10">
      <c r="A10" s="4" t="inlineStr">
        <is>
          <t>T-007</t>
        </is>
      </c>
      <c r="B10" s="4" t="inlineStr">
        <is>
          <t>Security</t>
        </is>
      </c>
      <c r="C10" s="4" t="inlineStr">
        <is>
          <t>Client changes $100 price to $1</t>
        </is>
      </c>
      <c r="D10" s="4" t="inlineStr">
        <is>
          <t>Server ignores client price; charge uses DB/validated amount.</t>
        </is>
      </c>
      <c r="E10" s="4" t="inlineStr">
        <is>
          <t>Abuse</t>
        </is>
      </c>
      <c r="F10" s="4" t="inlineStr">
        <is>
          <t>P0</t>
        </is>
      </c>
    </row>
    <row r="11">
      <c r="A11" s="4" t="inlineStr">
        <is>
          <t>T-008</t>
        </is>
      </c>
      <c r="B11" s="4" t="inlineStr">
        <is>
          <t>Security</t>
        </is>
      </c>
      <c r="C11" s="4" t="inlineStr">
        <is>
          <t>Quantity = -5</t>
        </is>
      </c>
      <c r="D11" s="4" t="inlineStr">
        <is>
          <t>Validation rejects.</t>
        </is>
      </c>
      <c r="E11" s="4" t="inlineStr">
        <is>
          <t>Abuse</t>
        </is>
      </c>
      <c r="F11" s="4" t="inlineStr">
        <is>
          <t>P0</t>
        </is>
      </c>
    </row>
    <row r="12">
      <c r="A12" s="4" t="inlineStr">
        <is>
          <t>T-009</t>
        </is>
      </c>
      <c r="B12" s="4" t="inlineStr">
        <is>
          <t>Security</t>
        </is>
      </c>
      <c r="C12" s="4" t="inlineStr">
        <is>
          <t>Customer requests another user order ID</t>
        </is>
      </c>
      <c r="D12" s="4" t="inlineStr">
        <is>
          <t>Access denied/not found.</t>
        </is>
      </c>
      <c r="E12" s="4" t="inlineStr">
        <is>
          <t>Abuse</t>
        </is>
      </c>
      <c r="F12" s="4" t="inlineStr">
        <is>
          <t>P0</t>
        </is>
      </c>
    </row>
    <row r="13">
      <c r="A13" s="4" t="inlineStr">
        <is>
          <t>T-010</t>
        </is>
      </c>
      <c r="B13" s="4" t="inlineStr">
        <is>
          <t>Security</t>
        </is>
      </c>
      <c r="C13" s="4" t="inlineStr">
        <is>
          <t>Customer calls admin mutation directly</t>
        </is>
      </c>
      <c r="D13" s="4" t="inlineStr">
        <is>
          <t>Denied server-side/RLS.</t>
        </is>
      </c>
      <c r="E13" s="4" t="inlineStr">
        <is>
          <t>Abuse</t>
        </is>
      </c>
      <c r="F13" s="4" t="inlineStr">
        <is>
          <t>P0</t>
        </is>
      </c>
    </row>
    <row r="14">
      <c r="A14" s="4" t="inlineStr">
        <is>
          <t>T-011</t>
        </is>
      </c>
      <c r="B14" s="4" t="inlineStr">
        <is>
          <t>Discount</t>
        </is>
      </c>
      <c r="C14" s="4" t="inlineStr">
        <is>
          <t>Invalid/expired coupon</t>
        </is>
      </c>
      <c r="D14" s="4" t="inlineStr">
        <is>
          <t>Rejected with clear message; totals unchanged.</t>
        </is>
      </c>
      <c r="E14" s="4" t="inlineStr">
        <is>
          <t>Integration</t>
        </is>
      </c>
      <c r="F14" s="4" t="inlineStr">
        <is>
          <t>P1</t>
        </is>
      </c>
    </row>
    <row r="15">
      <c r="A15" s="4" t="inlineStr">
        <is>
          <t>T-012</t>
        </is>
      </c>
      <c r="B15" s="4" t="inlineStr">
        <is>
          <t>Discount</t>
        </is>
      </c>
      <c r="C15" s="4" t="inlineStr">
        <is>
          <t>Attempt coupon reuse above rule</t>
        </is>
      </c>
      <c r="D15" s="4" t="inlineStr">
        <is>
          <t>Server enforces rule/limit.</t>
        </is>
      </c>
      <c r="E15" s="4" t="inlineStr">
        <is>
          <t>Abuse</t>
        </is>
      </c>
      <c r="F15" s="4" t="inlineStr">
        <is>
          <t>P1</t>
        </is>
      </c>
    </row>
    <row r="16">
      <c r="A16" s="4" t="inlineStr">
        <is>
          <t>T-013</t>
        </is>
      </c>
      <c r="B16" s="4" t="inlineStr">
        <is>
          <t>Catalog</t>
        </is>
      </c>
      <c r="C16" s="4" t="inlineStr">
        <is>
          <t>Inactive product direct URL</t>
        </is>
      </c>
      <c r="D16" s="4" t="inlineStr">
        <is>
          <t>Not purchasable; 404/unavailable handling.</t>
        </is>
      </c>
      <c r="E16" s="4" t="inlineStr">
        <is>
          <t>Integration</t>
        </is>
      </c>
      <c r="F16" s="4" t="inlineStr">
        <is>
          <t>P1</t>
        </is>
      </c>
    </row>
    <row r="17">
      <c r="A17" s="4" t="inlineStr">
        <is>
          <t>T-014</t>
        </is>
      </c>
      <c r="B17" s="4" t="inlineStr">
        <is>
          <t>Cart</t>
        </is>
      </c>
      <c r="C17" s="4" t="inlineStr">
        <is>
          <t>Quantity exceeds stock</t>
        </is>
      </c>
      <c r="D17" s="4" t="inlineStr">
        <is>
          <t>Server rejects/clamps per defined UX; no checkout bypass.</t>
        </is>
      </c>
      <c r="E17" s="4" t="inlineStr">
        <is>
          <t>Integration</t>
        </is>
      </c>
      <c r="F17" s="4" t="inlineStr">
        <is>
          <t>P0</t>
        </is>
      </c>
    </row>
    <row r="18">
      <c r="A18" s="4" t="inlineStr">
        <is>
          <t>T-015</t>
        </is>
      </c>
      <c r="B18" s="4" t="inlineStr">
        <is>
          <t>Auth</t>
        </is>
      </c>
      <c r="C18" s="4" t="inlineStr">
        <is>
          <t>Customer edits role field</t>
        </is>
      </c>
      <c r="D18" s="4" t="inlineStr">
        <is>
          <t>Role escalation impossible.</t>
        </is>
      </c>
      <c r="E18" s="4" t="inlineStr">
        <is>
          <t>Abuse</t>
        </is>
      </c>
      <c r="F18" s="4" t="inlineStr">
        <is>
          <t>P0</t>
        </is>
      </c>
    </row>
    <row r="19">
      <c r="A19" s="4" t="inlineStr">
        <is>
          <t>T-016</t>
        </is>
      </c>
      <c r="B19" s="4" t="inlineStr">
        <is>
          <t>Storage</t>
        </is>
      </c>
      <c r="C19" s="4" t="inlineStr">
        <is>
          <t>Invalid product upload type/size</t>
        </is>
      </c>
      <c r="D19" s="4" t="inlineStr">
        <is>
          <t>Rejected.</t>
        </is>
      </c>
      <c r="E19" s="4" t="inlineStr">
        <is>
          <t>Security</t>
        </is>
      </c>
      <c r="F19" s="4" t="inlineStr">
        <is>
          <t>P1</t>
        </is>
      </c>
    </row>
    <row r="20">
      <c r="A20" s="4" t="inlineStr">
        <is>
          <t>T-017</t>
        </is>
      </c>
      <c r="B20" s="4" t="inlineStr">
        <is>
          <t>Responsive</t>
        </is>
      </c>
      <c r="C20" s="4" t="inlineStr">
        <is>
          <t>Core path on small mobile viewport</t>
        </is>
      </c>
      <c r="D20" s="4" t="inlineStr">
        <is>
          <t>Browse → product → cart → checkout usable without overflow/blockers.</t>
        </is>
      </c>
      <c r="E20" s="4" t="inlineStr">
        <is>
          <t>Manual/E2E</t>
        </is>
      </c>
      <c r="F20" s="4" t="inlineStr">
        <is>
          <t>P1</t>
        </is>
      </c>
    </row>
    <row r="21">
      <c r="A21" s="4" t="inlineStr">
        <is>
          <t>T-018</t>
        </is>
      </c>
      <c r="B21" s="4" t="inlineStr">
        <is>
          <t>Accessibility</t>
        </is>
      </c>
      <c r="C21" s="4" t="inlineStr">
        <is>
          <t>Keyboard/form labels/error messaging sanity</t>
        </is>
      </c>
      <c r="D21" s="4" t="inlineStr">
        <is>
          <t>Critical forms usable and errors associated with fields.</t>
        </is>
      </c>
      <c r="E21" s="4" t="inlineStr">
        <is>
          <t>Manual</t>
        </is>
      </c>
      <c r="F21" s="4" t="inlineStr">
        <is>
          <t>P1</t>
        </is>
      </c>
    </row>
  </sheetData>
  <autoFilter ref="A3:F21"/>
  <mergeCells count="1">
    <mergeCell ref="A1:F1"/>
  </mergeCells>
  <pageMargins left="0.75" right="0.75" top="1" bottom="1" header="0.5" footer="0.5"/>
</worksheet>
</file>

<file path=xl/worksheets/sheet14.xml><?xml version="1.0" encoding="utf-8"?>
<worksheet xmlns="http://schemas.openxmlformats.org/spreadsheetml/2006/main">
  <sheetPr>
    <tabColor rgb="007C3AED"/>
    <outlinePr summaryBelow="1" summaryRight="1"/>
    <pageSetUpPr/>
  </sheetPr>
  <dimension ref="A1:C27"/>
  <sheetViews>
    <sheetView showGridLines="0" workbookViewId="0">
      <pane ySplit="3" topLeftCell="A4" activePane="bottomLeft" state="frozen"/>
      <selection pane="bottomLeft" activeCell="A1" sqref="A1"/>
    </sheetView>
  </sheetViews>
  <sheetFormatPr baseColWidth="8" defaultRowHeight="15"/>
  <cols>
    <col width="18" customWidth="1" min="1" max="1"/>
    <col width="32" customWidth="1" min="2" max="2"/>
    <col width="92" customWidth="1" min="3" max="3"/>
  </cols>
  <sheetData>
    <row r="1" ht="28" customHeight="1">
      <c r="A1" s="1" t="inlineStr">
        <is>
          <t>AI Coding Guardrails</t>
        </is>
      </c>
      <c r="B1" s="2" t="n"/>
      <c r="C1" s="2" t="n"/>
    </row>
    <row r="2">
      <c r="A2" s="2" t="n"/>
      <c r="B2" s="2" t="n"/>
      <c r="C2" s="2" t="n"/>
    </row>
    <row r="3" ht="30" customHeight="1">
      <c r="A3" s="5" t="inlineStr">
        <is>
          <t>Type</t>
        </is>
      </c>
      <c r="B3" s="5" t="inlineStr">
        <is>
          <t>Rule</t>
        </is>
      </c>
      <c r="C3" s="5" t="inlineStr">
        <is>
          <t>Operational Meaning</t>
        </is>
      </c>
    </row>
    <row r="4">
      <c r="A4" s="4" t="inlineStr">
        <is>
          <t>MUST</t>
        </is>
      </c>
      <c r="B4" s="4" t="inlineStr">
        <is>
          <t>Read PRD before coding</t>
        </is>
      </c>
      <c r="C4" s="4" t="inlineStr">
        <is>
          <t>Treat workbook/derived project PRD as source of truth. Do not invent requirements.</t>
        </is>
      </c>
    </row>
    <row r="5">
      <c r="A5" s="4" t="inlineStr">
        <is>
          <t>MUST</t>
        </is>
      </c>
      <c r="B5" s="4" t="inlineStr">
        <is>
          <t>Plan the current milestone</t>
        </is>
      </c>
      <c r="C5" s="4" t="inlineStr">
        <is>
          <t>State files/areas to change, data impact, test plan, and risks before implementation.</t>
        </is>
      </c>
    </row>
    <row r="6">
      <c r="A6" s="4" t="inlineStr">
        <is>
          <t>MUST</t>
        </is>
      </c>
      <c r="B6" s="4" t="inlineStr">
        <is>
          <t>Implement one bounded milestone at a time</t>
        </is>
      </c>
      <c r="C6" s="4" t="inlineStr">
        <is>
          <t>Do not opportunistically build future features.</t>
        </is>
      </c>
    </row>
    <row r="7">
      <c r="A7" s="4" t="inlineStr">
        <is>
          <t>MUST</t>
        </is>
      </c>
      <c r="B7" s="4" t="inlineStr">
        <is>
          <t>Use TypeScript</t>
        </is>
      </c>
      <c r="C7" s="4" t="inlineStr">
        <is>
          <t>No unnecessary JavaScript files.</t>
        </is>
      </c>
    </row>
    <row r="8">
      <c r="A8" s="4" t="inlineStr">
        <is>
          <t>MUST</t>
        </is>
      </c>
      <c r="B8" s="4" t="inlineStr">
        <is>
          <t>Use Next.js App Router</t>
        </is>
      </c>
      <c r="C8" s="4" t="inlineStr">
        <is>
          <t>Do not introduce Pages Router.</t>
        </is>
      </c>
    </row>
    <row r="9">
      <c r="A9" s="4" t="inlineStr">
        <is>
          <t>MUST</t>
        </is>
      </c>
      <c r="B9" s="4" t="inlineStr">
        <is>
          <t>Server Components by default</t>
        </is>
      </c>
      <c r="C9" s="4" t="inlineStr">
        <is>
          <t>Use client components only for actual interaction/browser-only behavior.</t>
        </is>
      </c>
    </row>
    <row r="10">
      <c r="A10" s="4" t="inlineStr">
        <is>
          <t>MUST</t>
        </is>
      </c>
      <c r="B10" s="4" t="inlineStr">
        <is>
          <t>Use Tailwind + shadcn</t>
        </is>
      </c>
      <c r="C10" s="4" t="inlineStr">
        <is>
          <t>Do not add another component/styling framework.</t>
        </is>
      </c>
    </row>
    <row r="11">
      <c r="A11" s="4" t="inlineStr">
        <is>
          <t>MUST</t>
        </is>
      </c>
      <c r="B11" s="4" t="inlineStr">
        <is>
          <t>Use Supabase for DB/auth/storage</t>
        </is>
      </c>
      <c r="C11" s="4" t="inlineStr">
        <is>
          <t>Do not add Prisma/Firebase/another DB unless PRD changes.</t>
        </is>
      </c>
    </row>
    <row r="12">
      <c r="A12" s="4" t="inlineStr">
        <is>
          <t>MUST</t>
        </is>
      </c>
      <c r="B12" s="4" t="inlineStr">
        <is>
          <t>Use migrations</t>
        </is>
      </c>
      <c r="C12" s="4" t="inlineStr">
        <is>
          <t>Every schema change is represented in migration files.</t>
        </is>
      </c>
    </row>
    <row r="13">
      <c r="A13" s="4" t="inlineStr">
        <is>
          <t>MUST</t>
        </is>
      </c>
      <c r="B13" s="4" t="inlineStr">
        <is>
          <t>Validate trust boundaries with Zod</t>
        </is>
      </c>
      <c r="C13" s="4" t="inlineStr">
        <is>
          <t>Client forms, server actions/handlers, external payloads where applicable.</t>
        </is>
      </c>
    </row>
    <row r="14">
      <c r="A14" s="4" t="inlineStr">
        <is>
          <t>MUST</t>
        </is>
      </c>
      <c r="B14" s="4" t="inlineStr">
        <is>
          <t>Server-authoritative money</t>
        </is>
      </c>
      <c r="C14" s="4" t="inlineStr">
        <is>
          <t>Prices, discounts, shipping, inventory, and totals are derived/validated server-side.</t>
        </is>
      </c>
    </row>
    <row r="15">
      <c r="A15" s="4" t="inlineStr">
        <is>
          <t>MUST</t>
        </is>
      </c>
      <c r="B15" s="4" t="inlineStr">
        <is>
          <t>Server/RLS authorization</t>
        </is>
      </c>
      <c r="C15" s="4" t="inlineStr">
        <is>
          <t>Every privileged or owned-resource action checks permission outside the UI.</t>
        </is>
      </c>
    </row>
    <row r="16">
      <c r="A16" s="4" t="inlineStr">
        <is>
          <t>MUST</t>
        </is>
      </c>
      <c r="B16" s="4" t="inlineStr">
        <is>
          <t>PayMongo webhook authority</t>
        </is>
      </c>
      <c r="C16" s="4" t="inlineStr">
        <is>
          <t>Payment success is finalized from verified webhook, not browser redirect.</t>
        </is>
      </c>
    </row>
    <row r="17">
      <c r="A17" s="4" t="inlineStr">
        <is>
          <t>MUST</t>
        </is>
      </c>
      <c r="B17" s="4" t="inlineStr">
        <is>
          <t>Webhook idempotency</t>
        </is>
      </c>
      <c r="C17" s="4" t="inlineStr">
        <is>
          <t>Duplicate events cannot duplicate orders, email, or stock movements.</t>
        </is>
      </c>
    </row>
    <row r="18">
      <c r="A18" s="4" t="inlineStr">
        <is>
          <t>MUST</t>
        </is>
      </c>
      <c r="B18" s="4" t="inlineStr">
        <is>
          <t>Run lint/typecheck/tests after meaningful changes</t>
        </is>
      </c>
      <c r="C18" s="4" t="inlineStr">
        <is>
          <t>Fix errors before marking milestone complete.</t>
        </is>
      </c>
    </row>
    <row r="19">
      <c r="A19" s="4" t="inlineStr">
        <is>
          <t>MUST</t>
        </is>
      </c>
      <c r="B19" s="4" t="inlineStr">
        <is>
          <t>Keep .env.example current</t>
        </is>
      </c>
      <c r="C19" s="4" t="inlineStr">
        <is>
          <t>Document env names without secrets.</t>
        </is>
      </c>
    </row>
    <row r="20">
      <c r="A20" s="4" t="inlineStr">
        <is>
          <t>MUST NOT</t>
        </is>
      </c>
      <c r="B20" s="4" t="inlineStr">
        <is>
          <t>Add out-of-scope features</t>
        </is>
      </c>
      <c r="C20" s="4" t="inlineStr">
        <is>
          <t>No reviews, wishlists, recommendations, loyalty, subscriptions, marketplace, etc.</t>
        </is>
      </c>
    </row>
    <row r="21">
      <c r="A21" s="4" t="inlineStr">
        <is>
          <t>MUST NOT</t>
        </is>
      </c>
      <c r="B21" s="4" t="inlineStr">
        <is>
          <t>Add infrastructure for hypothetical scale</t>
        </is>
      </c>
      <c r="C21" s="4" t="inlineStr">
        <is>
          <t>No microservices, Kafka, Kubernetes, Redis unless a proven requirement is added.</t>
        </is>
      </c>
    </row>
    <row r="22">
      <c r="A22" s="4" t="inlineStr">
        <is>
          <t>MUST NOT</t>
        </is>
      </c>
      <c r="B22" s="4" t="inlineStr">
        <is>
          <t>Add libraries casually</t>
        </is>
      </c>
      <c r="C22" s="4" t="inlineStr">
        <is>
          <t>Prefer existing stack/native features. Explain any new dependency first.</t>
        </is>
      </c>
    </row>
    <row r="23">
      <c r="A23" s="4" t="inlineStr">
        <is>
          <t>MUST NOT</t>
        </is>
      </c>
      <c r="B23" s="4" t="inlineStr">
        <is>
          <t>Create duplicate components</t>
        </is>
      </c>
      <c r="C23" s="4" t="inlineStr">
        <is>
          <t>Search/reuse/refactor existing component first.</t>
        </is>
      </c>
    </row>
    <row r="24">
      <c r="A24" s="4" t="inlineStr">
        <is>
          <t>MUST NOT</t>
        </is>
      </c>
      <c r="B24" s="4" t="inlineStr">
        <is>
          <t>Expose secrets</t>
        </is>
      </c>
      <c r="C24" s="4" t="inlineStr">
        <is>
          <t>No service-role, PayMongo secret, webhook secret, or email API keys in client/browser/logs.</t>
        </is>
      </c>
    </row>
    <row r="25">
      <c r="A25" s="4" t="inlineStr">
        <is>
          <t>MUST NOT</t>
        </is>
      </c>
      <c r="B25" s="4" t="inlineStr">
        <is>
          <t>Silently alter architecture</t>
        </is>
      </c>
      <c r="C25" s="4" t="inlineStr">
        <is>
          <t>Record proposed deviation in decision log and wait for PRD approval before implementing.</t>
        </is>
      </c>
    </row>
    <row r="26">
      <c r="A26" s="4" t="inlineStr">
        <is>
          <t>DEFAULT</t>
        </is>
      </c>
      <c r="B26" s="4" t="inlineStr">
        <is>
          <t>When ambiguous, choose smaller scope</t>
        </is>
      </c>
      <c r="C26" s="4" t="inlineStr">
        <is>
          <t>Prefer the simplest implementation that satisfies acceptance criteria.</t>
        </is>
      </c>
    </row>
    <row r="27">
      <c r="A27" s="4" t="inlineStr">
        <is>
          <t>DEFAULT</t>
        </is>
      </c>
      <c r="B27" s="4" t="inlineStr">
        <is>
          <t>Archive over delete</t>
        </is>
      </c>
      <c r="C27" s="4" t="inlineStr">
        <is>
          <t>Preserve historical references for products/order data.</t>
        </is>
      </c>
    </row>
  </sheetData>
  <autoFilter ref="A3:C27"/>
  <mergeCells count="1">
    <mergeCell ref="A1:C1"/>
  </mergeCells>
  <pageMargins left="0.75" right="0.75" top="1" bottom="1" header="0.5" footer="0.5"/>
</worksheet>
</file>

<file path=xl/worksheets/sheet15.xml><?xml version="1.0" encoding="utf-8"?>
<worksheet xmlns="http://schemas.openxmlformats.org/spreadsheetml/2006/main">
  <sheetPr>
    <tabColor rgb="0064748B"/>
    <outlinePr summaryBelow="1" summaryRight="1"/>
    <pageSetUpPr/>
  </sheetPr>
  <dimension ref="A1:A3"/>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ht="28" customHeight="1">
      <c r="A1" s="13" t="inlineStr">
        <is>
          <t>Master Vibe-Coding Prompt</t>
        </is>
      </c>
    </row>
    <row r="2"/>
    <row r="3" ht="760" customHeight="1">
      <c r="A3" s="14" t="inlineStr">
        <is>
          <t>ROLE
You are the senior full-stack engineer implementing this e-commerce application. Your job is to execute the PRD faithfully, not to redesign the product.
SOURCE OF TRUTH
The project PRD/roadmap is binding. Before coding, read the relevant PRD sections: scope, architecture, routes, data model, RLS/auth, roadmap, user stories, test matrix, and AI guardrails. If code and PRD conflict, identify the conflict and prefer the PRD unless an approved decision log entry supersedes it.
STACK
- Next.js App Router + TypeScript
- Tailwind CSS
- shadcn/ui
- Supabase Postgres + Auth + Storage
- Zod
- React Hook Form where useful for complex forms
- Stripe for payments
- Resend for transactional email
- Vercel for deployment
- Sentry for monitoring
ARCHITECTURE RULES
1. Keep a single-repo, monolith-first architecture.
2. Server Components are the default. Add client components only for interactive/browser-only behavior.
3. Prefer simple Server Actions or route handlers where appropriate; do not create unnecessary API layers.
4. Supabase migrations are the source of truth for schema.
5. Use Supabase RLS plus explicit server-side authorization. UI visibility is never authorization.
6. Never trust client-provided prices, totals, discounts, inventory, role, payment status, or ownership fields.
7. The server loads current prices/stock and computes checkout totals.
8. Stripe webhook signature verification is mandatory. Verified webhook state is authoritative for successful payment. Browser redirects cannot mark an order paid.
9. Webhook processing must be idempotent. Duplicate events must not duplicate orders, inventory deductions, or emails.
10. Do not expose service-role keys, Stripe secret keys, webhook secrets, or Resend keys to client code.
SCOPE CONTROL
Build only MVP items marked IN in the PRD. Do NOT add reviews, wishlists, loyalty, recommendations, subscriptions, marketplace/multi-vendor behavior, microservices, GraphQL, Kafka, Kubernetes, complex search infrastructure, or other speculative features unless the PRD is explicitly changed first.
IMPLEMENTATION WORKFLOW
For every milestone:
A. Read the milestone, dependencies, related user stories, architecture rules, and tests.
B. Produce a short implementation plan: files/modules to touch, schema impact, security impact, test plan.
C. Implement only that milestone. Do not build future milestones “while you are here.”
D. Reuse existing components and utilities before creating new ones.
E. Add/update migrations, schemas, tests, and .env.example when required.
F. Run lint, typecheck, and relevant tests. Fix issues before declaring completion.
G. Report: what changed, files changed, tests run/results, known limitations, and which acceptance criteria are satisfied.
H. Do not begin the next milestone until instructed or the orchestration workflow explicitly advances it.
CODE QUALITY
- Strict TypeScript; avoid any unless unavoidable and justified.
- Clear names; small focused modules; minimal duplication.
- Validate inputs at trust boundaries with Zod.
- Handle loading, empty, error, unauthorized, and not-found states for important flows.
- Keep accessibility basics: labels, keyboard operability, semantic elements, focus states.
- Keep responsive behavior for mobile and desktop.
- Avoid premature abstractions. Do not build a framework inside the app.
DATA &amp; SECURITY
- Variant-level inventory.
- Order items snapshot SKU/product/variant name/unit price/quantity/line total so history does not depend on mutable catalog data.
- Customer-owned rows must be protected by RLS and server ownership checks.
- Admin mutations require server-confirmed admin role. Customers cannot edit their own role.
- Prefer archive/inactive state over destructive deletion for catalog data.
- Product uploads must validate type/size and require admin permissions.
CHECKOUT / PAYMENT INVARIANTS
- Client submits identifiers and quantities, not authoritative prices.
- Server reloads prices, validates stock, validates discount, and computes totals.
- Payment resource is created server-side from authoritative total.
- Webhook is verified and deduplicated.
- Successful payment results in exactly one correct order.
- Inventory is adjusted exactly once.
- Closing the browser after payment must not prevent order finalization.
CHANGE CONTROL
If you believe a new library, table, route, service, feature, or architecture change is necessary but not specified in the PRD:
1. Do not implement it immediately.
2. Explain the problem.
3. Propose the smallest change.
4. State the tradeoffs.
5. Add/await an approved PRD or decision-log update before implementation.
DEFAULT DECISION RULE
When the PRD is ambiguous, choose the smallest, simplest, most secure implementation that satisfies the written acceptance criteria. Do not fill ambiguity with extra features.
CURRENT TASK
Work only on the milestone/task I provide next. Start by restating the relevant acceptance criteria and giving the implementation plan.</t>
        </is>
      </c>
    </row>
  </sheetData>
  <mergeCells count="1">
    <mergeCell ref="A1"/>
  </mergeCells>
  <pageMargins left="0.75" right="0.75" top="1" bottom="1" header="0.5" footer="0.5"/>
</worksheet>
</file>

<file path=xl/worksheets/sheet16.xml><?xml version="1.0" encoding="utf-8"?>
<worksheet xmlns="http://schemas.openxmlformats.org/spreadsheetml/2006/main">
  <sheetPr>
    <tabColor rgb="000F766E"/>
    <outlinePr summaryBelow="1" summaryRight="1"/>
    <pageSetUpPr/>
  </sheetPr>
  <dimension ref="A1:G200"/>
  <sheetViews>
    <sheetView showGridLines="0" workbookViewId="0">
      <pane ySplit="3" topLeftCell="A4" activePane="bottomLeft" state="frozen"/>
      <selection pane="bottomLeft" activeCell="A1" sqref="A1"/>
    </sheetView>
  </sheetViews>
  <sheetFormatPr baseColWidth="8" defaultRowHeight="15"/>
  <cols>
    <col width="14" customWidth="1" min="1" max="1"/>
    <col width="20" customWidth="1" min="2" max="2"/>
    <col width="40" customWidth="1" min="3" max="3"/>
    <col width="58" customWidth="1" min="4" max="4"/>
    <col width="58" customWidth="1" min="5" max="5"/>
    <col width="22" customWidth="1" min="6" max="6"/>
    <col width="18" customWidth="1" min="7" max="7"/>
  </cols>
  <sheetData>
    <row r="1" ht="28" customHeight="1">
      <c r="A1" s="1" t="inlineStr">
        <is>
          <t>Decision Log</t>
        </is>
      </c>
      <c r="B1" s="2" t="n"/>
      <c r="C1" s="2" t="n"/>
      <c r="D1" s="2" t="n"/>
      <c r="E1" s="2" t="n"/>
      <c r="F1" s="2" t="n"/>
      <c r="G1" s="2" t="n"/>
    </row>
    <row r="2">
      <c r="A2" s="2" t="n"/>
      <c r="B2" s="2" t="n"/>
      <c r="C2" s="2" t="n"/>
      <c r="D2" s="2" t="n"/>
      <c r="E2" s="2" t="n"/>
      <c r="F2" s="2" t="n"/>
      <c r="G2" s="2" t="n"/>
    </row>
    <row r="3" ht="30" customHeight="1">
      <c r="A3" s="5" t="inlineStr">
        <is>
          <t>ID</t>
        </is>
      </c>
      <c r="B3" s="5" t="inlineStr">
        <is>
          <t>Date</t>
        </is>
      </c>
      <c r="C3" s="5" t="inlineStr">
        <is>
          <t>Decision / Proposal</t>
        </is>
      </c>
      <c r="D3" s="5" t="inlineStr">
        <is>
          <t>Rationale</t>
        </is>
      </c>
      <c r="E3" s="5" t="inlineStr">
        <is>
          <t>Impact / Changed PRD Sections</t>
        </is>
      </c>
      <c r="F3" s="5" t="inlineStr">
        <is>
          <t>Status</t>
        </is>
      </c>
      <c r="G3" s="5" t="inlineStr">
        <is>
          <t>Approved By</t>
        </is>
      </c>
    </row>
    <row r="4">
      <c r="A4" s="4" t="inlineStr">
        <is>
          <t>D-001</t>
        </is>
      </c>
      <c r="B4" s="12" t="inlineStr">
        <is>
          <t>2026-09-15</t>
        </is>
      </c>
      <c r="C4" s="12" t="inlineStr">
        <is>
          <t>Adopt monolith-first Next.js + Supabase + Stripe architecture</t>
        </is>
      </c>
      <c r="D4" s="12" t="inlineStr">
        <is>
          <t>Minimizes complexity and keeps vibe-coding constrained.</t>
        </is>
      </c>
      <c r="E4" s="12" t="inlineStr">
        <is>
          <t>03_ARCHITECTURE; 12_AI_GUARDRAILS</t>
        </is>
      </c>
      <c r="F4" s="10" t="inlineStr">
        <is>
          <t>Approved</t>
        </is>
      </c>
      <c r="G4" s="12" t="inlineStr">
        <is>
          <t>Product Owner</t>
        </is>
      </c>
    </row>
    <row r="5" ht="115" customHeight="1">
      <c r="A5" s="2" t="inlineStr">
        <is>
          <t>M06-P01</t>
        </is>
      </c>
      <c r="B5" s="12" t="inlineStr">
        <is>
          <t>2026-09-22</t>
        </is>
      </c>
      <c r="C5" s="12" t="inlineStr">
        <is>
          <t>Approved M06: stock-checked cart routines/RLS, authoritative prices/subtotals, 30-day secure guest cookie with hash-only storage, separate guest/account carts without merging.</t>
        </is>
      </c>
      <c r="D5" s="12" t="inlineStr">
        <is>
          <t>Existing fields suffice; direct writes cannot bypass stock or ownership checks. Database/API/concurrency, cookie, actions, UI and browser/session checks verified; M06 Done (2026-09-23). No reservations or stock deductions.</t>
        </is>
      </c>
      <c r="E5" s="12" t="inlineStr">
        <is>
          <t>02_SCOPE; 05_DATA_MODEL; 06_RLS_AUTH; 07_ROADMAP; 08_USER_STORIES. Existing tables/fields only; no new secrets/packages. M01-M05 unchanged; M07 unstarted.</t>
        </is>
      </c>
      <c r="F5" s="10" t="inlineStr">
        <is>
          <t>Approved</t>
        </is>
      </c>
      <c r="G5" s="12" t="inlineStr">
        <is>
          <t>User (explicit session approval)</t>
        </is>
      </c>
    </row>
    <row r="6" ht="165" customHeight="1">
      <c r="A6" s="2" t="inlineStr">
        <is>
          <t>M07-P01</t>
        </is>
      </c>
      <c r="B6" s="12" t="inlineStr">
        <is>
          <t>2026-09-24</t>
        </is>
      </c>
      <c r="C6" s="12" t="inlineStr">
        <is>
          <t>Approve PHP/Philippines checkout, tax included, shipping/final payable total pending confirmation, saved account addresses, single fixed/percentage coupon and protected redemption_count.</t>
        </is>
      </c>
      <c r="D6" s="12" t="inlineStr">
        <is>
          <t>Merchant uses third-party shipping with an unknown fee. Existing schema lacks coupon usage accounting. Read-only owner-checked quote validates current prices/stock/usage; no payment or redemption writes.</t>
        </is>
      </c>
      <c r="E6" s="12" t="inlineStr">
        <is>
          <t>02_SCOPE; 05_DATA_MODEL; 06_RLS_AUTH; 07_ROADMAP; US-004. Existing addresses reused; one discount counter. No packages/secrets. M08 excluded.</t>
        </is>
      </c>
      <c r="F6" s="10" t="inlineStr">
        <is>
          <t>Approved</t>
        </is>
      </c>
      <c r="G6" s="12" t="inlineStr">
        <is>
          <t>User (explicit session replies)</t>
        </is>
      </c>
    </row>
    <row r="7" ht="165" customHeight="1">
      <c r="A7" s="2" t="inlineStr">
        <is>
          <t>M08-P01</t>
        </is>
      </c>
      <c r="B7" s="12" t="inlineStr">
        <is>
          <t>2026-09-25</t>
        </is>
      </c>
      <c r="C7" s="12" t="inlineStr">
        <is>
          <t>Replace Stripe with PayMongo hosted checkout (supersedes D-001's payment provider only). M08 charges the merchandise total after discounts; shipping is paid to the courier on delivery. M08 authorized while M03/M07 stay In Progress for one open M03 check.</t>
        </is>
      </c>
      <c r="D7" s="12" t="inlineStr">
        <is>
          <t>Deployment is in the Philippines. Stripe does not list PH availability and local methods (GCash, Maya, QR Ph) are uncertain. PayMongo is PH-native with hosted checkout and signed webhooks.</t>
        </is>
      </c>
      <c r="E7" s="12" t="inlineStr">
        <is>
          <t>01_EXEC_SUMMARY; 02_SCOPE; 03_ARCHITECTURE; 04_ROUTES; 05_DATA_MODEL; 07_ROADMAP; US-005; 10_ENV_INTEGRATIONS; 12_AI_GUARDRAILS. No new package; PAYMONGO_SECRET_KEY/PAYMONGO_WEBHOOK_SECRET replace Stripe env. No schema change in M08.</t>
        </is>
      </c>
      <c r="F7" s="10" t="inlineStr">
        <is>
          <t>Approved</t>
        </is>
      </c>
      <c r="G7" s="12" t="inlineStr">
        <is>
          <t>User (explicit session replies)</t>
        </is>
      </c>
    </row>
    <row r="8">
      <c r="A8" s="2" t="n"/>
      <c r="B8" s="12" t="n"/>
      <c r="C8" s="12" t="n"/>
      <c r="D8" s="12" t="n"/>
      <c r="E8" s="12" t="n"/>
      <c r="F8" s="10" t="n"/>
      <c r="G8" s="12" t="n"/>
    </row>
    <row r="9">
      <c r="A9" s="2" t="n"/>
      <c r="B9" s="12" t="n"/>
      <c r="C9" s="12" t="n"/>
      <c r="D9" s="12" t="n"/>
      <c r="E9" s="12" t="n"/>
      <c r="F9" s="10" t="n"/>
      <c r="G9" s="12" t="n"/>
    </row>
    <row r="10">
      <c r="A10" s="2" t="n"/>
      <c r="B10" s="12" t="n"/>
      <c r="C10" s="12" t="n"/>
      <c r="D10" s="12" t="n"/>
      <c r="E10" s="12" t="n"/>
      <c r="F10" s="10" t="n"/>
      <c r="G10" s="12" t="n"/>
    </row>
    <row r="11">
      <c r="A11" s="2" t="n"/>
      <c r="B11" s="12" t="n"/>
      <c r="C11" s="12" t="n"/>
      <c r="D11" s="12" t="n"/>
      <c r="E11" s="12" t="n"/>
      <c r="F11" s="10" t="n"/>
      <c r="G11" s="12" t="n"/>
    </row>
    <row r="12">
      <c r="A12" s="2" t="n"/>
      <c r="B12" s="12" t="n"/>
      <c r="C12" s="12" t="n"/>
      <c r="D12" s="12" t="n"/>
      <c r="E12" s="12" t="n"/>
      <c r="F12" s="10" t="n"/>
      <c r="G12" s="12" t="n"/>
    </row>
    <row r="13">
      <c r="A13" s="2" t="n"/>
      <c r="B13" s="12" t="n"/>
      <c r="C13" s="12" t="n"/>
      <c r="D13" s="12" t="n"/>
      <c r="E13" s="12" t="n"/>
      <c r="F13" s="10" t="n"/>
      <c r="G13" s="12" t="n"/>
    </row>
    <row r="14">
      <c r="A14" s="2" t="n"/>
      <c r="B14" s="12" t="n"/>
      <c r="C14" s="12" t="n"/>
      <c r="D14" s="12" t="n"/>
      <c r="E14" s="12" t="n"/>
      <c r="F14" s="10" t="n"/>
      <c r="G14" s="12" t="n"/>
    </row>
    <row r="15">
      <c r="A15" s="2" t="n"/>
      <c r="B15" s="12" t="n"/>
      <c r="C15" s="12" t="n"/>
      <c r="D15" s="12" t="n"/>
      <c r="E15" s="12" t="n"/>
      <c r="F15" s="10" t="n"/>
      <c r="G15" s="12" t="n"/>
    </row>
    <row r="16">
      <c r="A16" s="2" t="n"/>
      <c r="B16" s="12" t="n"/>
      <c r="C16" s="12" t="n"/>
      <c r="D16" s="12" t="n"/>
      <c r="E16" s="12" t="n"/>
      <c r="F16" s="10" t="n"/>
      <c r="G16" s="12" t="n"/>
    </row>
    <row r="17">
      <c r="A17" s="2" t="n"/>
      <c r="B17" s="12" t="n"/>
      <c r="C17" s="12" t="n"/>
      <c r="D17" s="12" t="n"/>
      <c r="E17" s="12" t="n"/>
      <c r="F17" s="10" t="n"/>
      <c r="G17" s="12" t="n"/>
    </row>
    <row r="18">
      <c r="A18" s="2" t="n"/>
      <c r="B18" s="12" t="n"/>
      <c r="C18" s="12" t="n"/>
      <c r="D18" s="12" t="n"/>
      <c r="E18" s="12" t="n"/>
      <c r="F18" s="10" t="n"/>
      <c r="G18" s="12" t="n"/>
    </row>
    <row r="19">
      <c r="A19" s="2" t="n"/>
      <c r="B19" s="12" t="n"/>
      <c r="C19" s="12" t="n"/>
      <c r="D19" s="12" t="n"/>
      <c r="E19" s="12" t="n"/>
      <c r="F19" s="10" t="n"/>
      <c r="G19" s="12" t="n"/>
    </row>
    <row r="20">
      <c r="A20" s="2" t="n"/>
      <c r="B20" s="12" t="n"/>
      <c r="C20" s="12" t="n"/>
      <c r="D20" s="12" t="n"/>
      <c r="E20" s="12" t="n"/>
      <c r="F20" s="10" t="n"/>
      <c r="G20" s="12" t="n"/>
    </row>
    <row r="21">
      <c r="A21" s="2" t="n"/>
      <c r="B21" s="12" t="n"/>
      <c r="C21" s="12" t="n"/>
      <c r="D21" s="12" t="n"/>
      <c r="E21" s="12" t="n"/>
      <c r="F21" s="10" t="n"/>
      <c r="G21" s="12" t="n"/>
    </row>
    <row r="22">
      <c r="A22" s="2" t="n"/>
      <c r="B22" s="12" t="n"/>
      <c r="C22" s="12" t="n"/>
      <c r="D22" s="12" t="n"/>
      <c r="E22" s="12" t="n"/>
      <c r="F22" s="10" t="n"/>
      <c r="G22" s="12" t="n"/>
    </row>
    <row r="23">
      <c r="A23" s="2" t="n"/>
      <c r="B23" s="12" t="n"/>
      <c r="C23" s="12" t="n"/>
      <c r="D23" s="12" t="n"/>
      <c r="E23" s="12" t="n"/>
      <c r="F23" s="10" t="n"/>
      <c r="G23" s="12" t="n"/>
    </row>
    <row r="24">
      <c r="A24" s="2" t="n"/>
      <c r="B24" s="12" t="n"/>
      <c r="C24" s="12" t="n"/>
      <c r="D24" s="12" t="n"/>
      <c r="E24" s="12" t="n"/>
      <c r="F24" s="10" t="n"/>
      <c r="G24" s="12" t="n"/>
    </row>
    <row r="25">
      <c r="A25" s="2" t="n"/>
      <c r="B25" s="12" t="n"/>
      <c r="C25" s="12" t="n"/>
      <c r="D25" s="12" t="n"/>
      <c r="E25" s="12" t="n"/>
      <c r="F25" s="10" t="n"/>
      <c r="G25" s="12" t="n"/>
    </row>
    <row r="26">
      <c r="A26" s="2" t="n"/>
      <c r="B26" s="12" t="n"/>
      <c r="C26" s="12" t="n"/>
      <c r="D26" s="12" t="n"/>
      <c r="E26" s="12" t="n"/>
      <c r="F26" s="10" t="n"/>
      <c r="G26" s="12" t="n"/>
    </row>
    <row r="27">
      <c r="A27" s="2" t="n"/>
      <c r="B27" s="12" t="n"/>
      <c r="C27" s="12" t="n"/>
      <c r="D27" s="12" t="n"/>
      <c r="E27" s="12" t="n"/>
      <c r="F27" s="10" t="n"/>
      <c r="G27" s="12" t="n"/>
    </row>
    <row r="28">
      <c r="A28" s="2" t="n"/>
      <c r="B28" s="12" t="n"/>
      <c r="C28" s="12" t="n"/>
      <c r="D28" s="12" t="n"/>
      <c r="E28" s="12" t="n"/>
      <c r="F28" s="10" t="n"/>
      <c r="G28" s="12" t="n"/>
    </row>
    <row r="29">
      <c r="A29" s="2" t="n"/>
      <c r="B29" s="12" t="n"/>
      <c r="C29" s="12" t="n"/>
      <c r="D29" s="12" t="n"/>
      <c r="E29" s="12" t="n"/>
      <c r="F29" s="10" t="n"/>
      <c r="G29" s="12" t="n"/>
    </row>
    <row r="30">
      <c r="A30" s="2" t="n"/>
      <c r="B30" s="12" t="n"/>
      <c r="C30" s="12" t="n"/>
      <c r="D30" s="12" t="n"/>
      <c r="E30" s="12" t="n"/>
      <c r="F30" s="10" t="n"/>
      <c r="G30" s="12" t="n"/>
    </row>
    <row r="31">
      <c r="A31" s="2" t="n"/>
      <c r="B31" s="12" t="n"/>
      <c r="C31" s="12" t="n"/>
      <c r="D31" s="12" t="n"/>
      <c r="E31" s="12" t="n"/>
      <c r="F31" s="10" t="n"/>
      <c r="G31" s="12" t="n"/>
    </row>
    <row r="32">
      <c r="A32" s="2" t="n"/>
      <c r="B32" s="12" t="n"/>
      <c r="C32" s="12" t="n"/>
      <c r="D32" s="12" t="n"/>
      <c r="E32" s="12" t="n"/>
      <c r="F32" s="10" t="n"/>
      <c r="G32" s="12" t="n"/>
    </row>
    <row r="33">
      <c r="A33" s="2" t="n"/>
      <c r="B33" s="12" t="n"/>
      <c r="C33" s="12" t="n"/>
      <c r="D33" s="12" t="n"/>
      <c r="E33" s="12" t="n"/>
      <c r="F33" s="10" t="n"/>
      <c r="G33" s="12" t="n"/>
    </row>
    <row r="34">
      <c r="A34" s="2" t="n"/>
      <c r="B34" s="12" t="n"/>
      <c r="C34" s="12" t="n"/>
      <c r="D34" s="12" t="n"/>
      <c r="E34" s="12" t="n"/>
      <c r="F34" s="10" t="n"/>
      <c r="G34" s="12" t="n"/>
    </row>
    <row r="35">
      <c r="A35" s="2" t="n"/>
      <c r="B35" s="12" t="n"/>
      <c r="C35" s="12" t="n"/>
      <c r="D35" s="12" t="n"/>
      <c r="E35" s="12" t="n"/>
      <c r="F35" s="10" t="n"/>
      <c r="G35" s="12" t="n"/>
    </row>
    <row r="36">
      <c r="A36" s="2" t="n"/>
      <c r="B36" s="12" t="n"/>
      <c r="C36" s="12" t="n"/>
      <c r="D36" s="12" t="n"/>
      <c r="E36" s="12" t="n"/>
      <c r="F36" s="10" t="n"/>
      <c r="G36" s="12" t="n"/>
    </row>
    <row r="37">
      <c r="A37" s="2" t="n"/>
      <c r="B37" s="12" t="n"/>
      <c r="C37" s="12" t="n"/>
      <c r="D37" s="12" t="n"/>
      <c r="E37" s="12" t="n"/>
      <c r="F37" s="10" t="n"/>
      <c r="G37" s="12" t="n"/>
    </row>
    <row r="38">
      <c r="A38" s="2" t="n"/>
      <c r="B38" s="12" t="n"/>
      <c r="C38" s="12" t="n"/>
      <c r="D38" s="12" t="n"/>
      <c r="E38" s="12" t="n"/>
      <c r="F38" s="10" t="n"/>
      <c r="G38" s="12" t="n"/>
    </row>
    <row r="39">
      <c r="A39" s="2" t="n"/>
      <c r="B39" s="12" t="n"/>
      <c r="C39" s="12" t="n"/>
      <c r="D39" s="12" t="n"/>
      <c r="E39" s="12" t="n"/>
      <c r="F39" s="10" t="n"/>
      <c r="G39" s="12" t="n"/>
    </row>
    <row r="40">
      <c r="A40" s="2" t="n"/>
      <c r="B40" s="12" t="n"/>
      <c r="C40" s="12" t="n"/>
      <c r="D40" s="12" t="n"/>
      <c r="E40" s="12" t="n"/>
      <c r="F40" s="10" t="n"/>
      <c r="G40" s="12" t="n"/>
    </row>
    <row r="41">
      <c r="A41" s="2" t="n"/>
      <c r="B41" s="12" t="n"/>
      <c r="C41" s="12" t="n"/>
      <c r="D41" s="12" t="n"/>
      <c r="E41" s="12" t="n"/>
      <c r="F41" s="10" t="n"/>
      <c r="G41" s="12" t="n"/>
    </row>
    <row r="42">
      <c r="A42" s="2" t="n"/>
      <c r="B42" s="12" t="n"/>
      <c r="C42" s="12" t="n"/>
      <c r="D42" s="12" t="n"/>
      <c r="E42" s="12" t="n"/>
      <c r="F42" s="10" t="n"/>
      <c r="G42" s="12" t="n"/>
    </row>
    <row r="43">
      <c r="A43" s="2" t="n"/>
      <c r="B43" s="12" t="n"/>
      <c r="C43" s="12" t="n"/>
      <c r="D43" s="12" t="n"/>
      <c r="E43" s="12" t="n"/>
      <c r="F43" s="10" t="n"/>
      <c r="G43" s="12" t="n"/>
    </row>
    <row r="44">
      <c r="A44" s="2" t="n"/>
      <c r="B44" s="12" t="n"/>
      <c r="C44" s="12" t="n"/>
      <c r="D44" s="12" t="n"/>
      <c r="E44" s="12" t="n"/>
      <c r="F44" s="10" t="n"/>
      <c r="G44" s="12" t="n"/>
    </row>
    <row r="45">
      <c r="A45" s="2" t="n"/>
      <c r="B45" s="12" t="n"/>
      <c r="C45" s="12" t="n"/>
      <c r="D45" s="12" t="n"/>
      <c r="E45" s="12" t="n"/>
      <c r="F45" s="10" t="n"/>
      <c r="G45" s="12" t="n"/>
    </row>
    <row r="46">
      <c r="A46" s="2" t="n"/>
      <c r="B46" s="12" t="n"/>
      <c r="C46" s="12" t="n"/>
      <c r="D46" s="12" t="n"/>
      <c r="E46" s="12" t="n"/>
      <c r="F46" s="10" t="n"/>
      <c r="G46" s="12" t="n"/>
    </row>
    <row r="47">
      <c r="A47" s="2" t="n"/>
      <c r="B47" s="12" t="n"/>
      <c r="C47" s="12" t="n"/>
      <c r="D47" s="12" t="n"/>
      <c r="E47" s="12" t="n"/>
      <c r="F47" s="10" t="n"/>
      <c r="G47" s="12" t="n"/>
    </row>
    <row r="48">
      <c r="A48" s="2" t="n"/>
      <c r="B48" s="12" t="n"/>
      <c r="C48" s="12" t="n"/>
      <c r="D48" s="12" t="n"/>
      <c r="E48" s="12" t="n"/>
      <c r="F48" s="10" t="n"/>
      <c r="G48" s="12" t="n"/>
    </row>
    <row r="49">
      <c r="A49" s="2" t="n"/>
      <c r="B49" s="12" t="n"/>
      <c r="C49" s="12" t="n"/>
      <c r="D49" s="12" t="n"/>
      <c r="E49" s="12" t="n"/>
      <c r="F49" s="10" t="n"/>
      <c r="G49" s="12" t="n"/>
    </row>
    <row r="50">
      <c r="A50" s="2" t="n"/>
      <c r="B50" s="12" t="n"/>
      <c r="C50" s="12" t="n"/>
      <c r="D50" s="12" t="n"/>
      <c r="E50" s="12" t="n"/>
      <c r="F50" s="10" t="n"/>
      <c r="G50" s="12" t="n"/>
    </row>
    <row r="51">
      <c r="A51" s="2" t="n"/>
      <c r="B51" s="12" t="n"/>
      <c r="C51" s="12" t="n"/>
      <c r="D51" s="12" t="n"/>
      <c r="E51" s="12" t="n"/>
      <c r="F51" s="10" t="n"/>
      <c r="G51" s="12" t="n"/>
    </row>
    <row r="52">
      <c r="A52" s="2" t="n"/>
      <c r="B52" s="12" t="n"/>
      <c r="C52" s="12" t="n"/>
      <c r="D52" s="12" t="n"/>
      <c r="E52" s="12" t="n"/>
      <c r="F52" s="10" t="n"/>
      <c r="G52" s="12" t="n"/>
    </row>
    <row r="53">
      <c r="A53" s="2" t="n"/>
      <c r="B53" s="12" t="n"/>
      <c r="C53" s="12" t="n"/>
      <c r="D53" s="12" t="n"/>
      <c r="E53" s="12" t="n"/>
      <c r="F53" s="10" t="n"/>
      <c r="G53" s="12" t="n"/>
    </row>
    <row r="54">
      <c r="A54" s="2" t="n"/>
      <c r="B54" s="12" t="n"/>
      <c r="C54" s="12" t="n"/>
      <c r="D54" s="12" t="n"/>
      <c r="E54" s="12" t="n"/>
      <c r="F54" s="10" t="n"/>
      <c r="G54" s="12" t="n"/>
    </row>
    <row r="55">
      <c r="A55" s="2" t="n"/>
      <c r="B55" s="12" t="n"/>
      <c r="C55" s="12" t="n"/>
      <c r="D55" s="12" t="n"/>
      <c r="E55" s="12" t="n"/>
      <c r="F55" s="10" t="n"/>
      <c r="G55" s="12" t="n"/>
    </row>
    <row r="56">
      <c r="A56" s="2" t="n"/>
      <c r="B56" s="12" t="n"/>
      <c r="C56" s="12" t="n"/>
      <c r="D56" s="12" t="n"/>
      <c r="E56" s="12" t="n"/>
      <c r="F56" s="10" t="n"/>
      <c r="G56" s="12" t="n"/>
    </row>
    <row r="57">
      <c r="A57" s="2" t="n"/>
      <c r="B57" s="12" t="n"/>
      <c r="C57" s="12" t="n"/>
      <c r="D57" s="12" t="n"/>
      <c r="E57" s="12" t="n"/>
      <c r="F57" s="10" t="n"/>
      <c r="G57" s="12" t="n"/>
    </row>
    <row r="58">
      <c r="A58" s="2" t="n"/>
      <c r="B58" s="12" t="n"/>
      <c r="C58" s="12" t="n"/>
      <c r="D58" s="12" t="n"/>
      <c r="E58" s="12" t="n"/>
      <c r="F58" s="10" t="n"/>
      <c r="G58" s="12" t="n"/>
    </row>
    <row r="59">
      <c r="A59" s="2" t="n"/>
      <c r="B59" s="12" t="n"/>
      <c r="C59" s="12" t="n"/>
      <c r="D59" s="12" t="n"/>
      <c r="E59" s="12" t="n"/>
      <c r="F59" s="10" t="n"/>
      <c r="G59" s="12" t="n"/>
    </row>
    <row r="60">
      <c r="A60" s="2" t="n"/>
      <c r="B60" s="12" t="n"/>
      <c r="C60" s="12" t="n"/>
      <c r="D60" s="12" t="n"/>
      <c r="E60" s="12" t="n"/>
      <c r="F60" s="10" t="n"/>
      <c r="G60" s="12" t="n"/>
    </row>
    <row r="61">
      <c r="A61" s="2" t="n"/>
      <c r="B61" s="12" t="n"/>
      <c r="C61" s="12" t="n"/>
      <c r="D61" s="12" t="n"/>
      <c r="E61" s="12" t="n"/>
      <c r="F61" s="10" t="n"/>
      <c r="G61" s="12" t="n"/>
    </row>
    <row r="62">
      <c r="A62" s="2" t="n"/>
      <c r="B62" s="12" t="n"/>
      <c r="C62" s="12" t="n"/>
      <c r="D62" s="12" t="n"/>
      <c r="E62" s="12" t="n"/>
      <c r="F62" s="10" t="n"/>
      <c r="G62" s="12" t="n"/>
    </row>
    <row r="63">
      <c r="A63" s="2" t="n"/>
      <c r="B63" s="12" t="n"/>
      <c r="C63" s="12" t="n"/>
      <c r="D63" s="12" t="n"/>
      <c r="E63" s="12" t="n"/>
      <c r="F63" s="10" t="n"/>
      <c r="G63" s="12" t="n"/>
    </row>
    <row r="64">
      <c r="A64" s="2" t="n"/>
      <c r="B64" s="12" t="n"/>
      <c r="C64" s="12" t="n"/>
      <c r="D64" s="12" t="n"/>
      <c r="E64" s="12" t="n"/>
      <c r="F64" s="10" t="n"/>
      <c r="G64" s="12" t="n"/>
    </row>
    <row r="65">
      <c r="A65" s="2" t="n"/>
      <c r="B65" s="12" t="n"/>
      <c r="C65" s="12" t="n"/>
      <c r="D65" s="12" t="n"/>
      <c r="E65" s="12" t="n"/>
      <c r="F65" s="10" t="n"/>
      <c r="G65" s="12" t="n"/>
    </row>
    <row r="66">
      <c r="A66" s="2" t="n"/>
      <c r="B66" s="12" t="n"/>
      <c r="C66" s="12" t="n"/>
      <c r="D66" s="12" t="n"/>
      <c r="E66" s="12" t="n"/>
      <c r="F66" s="10" t="n"/>
      <c r="G66" s="12" t="n"/>
    </row>
    <row r="67">
      <c r="A67" s="2" t="n"/>
      <c r="B67" s="12" t="n"/>
      <c r="C67" s="12" t="n"/>
      <c r="D67" s="12" t="n"/>
      <c r="E67" s="12" t="n"/>
      <c r="F67" s="10" t="n"/>
      <c r="G67" s="12" t="n"/>
    </row>
    <row r="68">
      <c r="A68" s="2" t="n"/>
      <c r="B68" s="12" t="n"/>
      <c r="C68" s="12" t="n"/>
      <c r="D68" s="12" t="n"/>
      <c r="E68" s="12" t="n"/>
      <c r="F68" s="10" t="n"/>
      <c r="G68" s="12" t="n"/>
    </row>
    <row r="69">
      <c r="A69" s="2" t="n"/>
      <c r="B69" s="12" t="n"/>
      <c r="C69" s="12" t="n"/>
      <c r="D69" s="12" t="n"/>
      <c r="E69" s="12" t="n"/>
      <c r="F69" s="10" t="n"/>
      <c r="G69" s="12" t="n"/>
    </row>
    <row r="70">
      <c r="A70" s="2" t="n"/>
      <c r="B70" s="12" t="n"/>
      <c r="C70" s="12" t="n"/>
      <c r="D70" s="12" t="n"/>
      <c r="E70" s="12" t="n"/>
      <c r="F70" s="10" t="n"/>
      <c r="G70" s="12" t="n"/>
    </row>
    <row r="71">
      <c r="A71" s="2" t="n"/>
      <c r="B71" s="12" t="n"/>
      <c r="C71" s="12" t="n"/>
      <c r="D71" s="12" t="n"/>
      <c r="E71" s="12" t="n"/>
      <c r="F71" s="10" t="n"/>
      <c r="G71" s="12" t="n"/>
    </row>
    <row r="72">
      <c r="A72" s="2" t="n"/>
      <c r="B72" s="12" t="n"/>
      <c r="C72" s="12" t="n"/>
      <c r="D72" s="12" t="n"/>
      <c r="E72" s="12" t="n"/>
      <c r="F72" s="10" t="n"/>
      <c r="G72" s="12" t="n"/>
    </row>
    <row r="73">
      <c r="A73" s="2" t="n"/>
      <c r="B73" s="12" t="n"/>
      <c r="C73" s="12" t="n"/>
      <c r="D73" s="12" t="n"/>
      <c r="E73" s="12" t="n"/>
      <c r="F73" s="10" t="n"/>
      <c r="G73" s="12" t="n"/>
    </row>
    <row r="74">
      <c r="A74" s="2" t="n"/>
      <c r="B74" s="12" t="n"/>
      <c r="C74" s="12" t="n"/>
      <c r="D74" s="12" t="n"/>
      <c r="E74" s="12" t="n"/>
      <c r="F74" s="10" t="n"/>
      <c r="G74" s="12" t="n"/>
    </row>
    <row r="75">
      <c r="A75" s="2" t="n"/>
      <c r="B75" s="12" t="n"/>
      <c r="C75" s="12" t="n"/>
      <c r="D75" s="12" t="n"/>
      <c r="E75" s="12" t="n"/>
      <c r="F75" s="10" t="n"/>
      <c r="G75" s="12" t="n"/>
    </row>
    <row r="76">
      <c r="A76" s="2" t="n"/>
      <c r="B76" s="12" t="n"/>
      <c r="C76" s="12" t="n"/>
      <c r="D76" s="12" t="n"/>
      <c r="E76" s="12" t="n"/>
      <c r="F76" s="10" t="n"/>
      <c r="G76" s="12" t="n"/>
    </row>
    <row r="77">
      <c r="A77" s="2" t="n"/>
      <c r="B77" s="12" t="n"/>
      <c r="C77" s="12" t="n"/>
      <c r="D77" s="12" t="n"/>
      <c r="E77" s="12" t="n"/>
      <c r="F77" s="10" t="n"/>
      <c r="G77" s="12" t="n"/>
    </row>
    <row r="78">
      <c r="A78" s="2" t="n"/>
      <c r="B78" s="12" t="n"/>
      <c r="C78" s="12" t="n"/>
      <c r="D78" s="12" t="n"/>
      <c r="E78" s="12" t="n"/>
      <c r="F78" s="10" t="n"/>
      <c r="G78" s="12" t="n"/>
    </row>
    <row r="79">
      <c r="A79" s="2" t="n"/>
      <c r="B79" s="12" t="n"/>
      <c r="C79" s="12" t="n"/>
      <c r="D79" s="12" t="n"/>
      <c r="E79" s="12" t="n"/>
      <c r="F79" s="10" t="n"/>
      <c r="G79" s="12" t="n"/>
    </row>
    <row r="80">
      <c r="A80" s="2" t="n"/>
      <c r="B80" s="12" t="n"/>
      <c r="C80" s="12" t="n"/>
      <c r="D80" s="12" t="n"/>
      <c r="E80" s="12" t="n"/>
      <c r="F80" s="10" t="n"/>
      <c r="G80" s="12" t="n"/>
    </row>
    <row r="81">
      <c r="A81" s="2" t="n"/>
      <c r="B81" s="12" t="n"/>
      <c r="C81" s="12" t="n"/>
      <c r="D81" s="12" t="n"/>
      <c r="E81" s="12" t="n"/>
      <c r="F81" s="10" t="n"/>
      <c r="G81" s="12" t="n"/>
    </row>
    <row r="82">
      <c r="A82" s="2" t="n"/>
      <c r="B82" s="12" t="n"/>
      <c r="C82" s="12" t="n"/>
      <c r="D82" s="12" t="n"/>
      <c r="E82" s="12" t="n"/>
      <c r="F82" s="10" t="n"/>
      <c r="G82" s="12" t="n"/>
    </row>
    <row r="83">
      <c r="A83" s="2" t="n"/>
      <c r="B83" s="12" t="n"/>
      <c r="C83" s="12" t="n"/>
      <c r="D83" s="12" t="n"/>
      <c r="E83" s="12" t="n"/>
      <c r="F83" s="10" t="n"/>
      <c r="G83" s="12" t="n"/>
    </row>
    <row r="84">
      <c r="A84" s="2" t="n"/>
      <c r="B84" s="12" t="n"/>
      <c r="C84" s="12" t="n"/>
      <c r="D84" s="12" t="n"/>
      <c r="E84" s="12" t="n"/>
      <c r="F84" s="10" t="n"/>
      <c r="G84" s="12" t="n"/>
    </row>
    <row r="85">
      <c r="A85" s="2" t="n"/>
      <c r="B85" s="12" t="n"/>
      <c r="C85" s="12" t="n"/>
      <c r="D85" s="12" t="n"/>
      <c r="E85" s="12" t="n"/>
      <c r="F85" s="10" t="n"/>
      <c r="G85" s="12" t="n"/>
    </row>
    <row r="86">
      <c r="A86" s="2" t="n"/>
      <c r="B86" s="12" t="n"/>
      <c r="C86" s="12" t="n"/>
      <c r="D86" s="12" t="n"/>
      <c r="E86" s="12" t="n"/>
      <c r="F86" s="10" t="n"/>
      <c r="G86" s="12" t="n"/>
    </row>
    <row r="87">
      <c r="A87" s="2" t="n"/>
      <c r="B87" s="12" t="n"/>
      <c r="C87" s="12" t="n"/>
      <c r="D87" s="12" t="n"/>
      <c r="E87" s="12" t="n"/>
      <c r="F87" s="10" t="n"/>
      <c r="G87" s="12" t="n"/>
    </row>
    <row r="88">
      <c r="A88" s="2" t="n"/>
      <c r="B88" s="12" t="n"/>
      <c r="C88" s="12" t="n"/>
      <c r="D88" s="12" t="n"/>
      <c r="E88" s="12" t="n"/>
      <c r="F88" s="10" t="n"/>
      <c r="G88" s="12" t="n"/>
    </row>
    <row r="89">
      <c r="A89" s="2" t="n"/>
      <c r="B89" s="12" t="n"/>
      <c r="C89" s="12" t="n"/>
      <c r="D89" s="12" t="n"/>
      <c r="E89" s="12" t="n"/>
      <c r="F89" s="10" t="n"/>
      <c r="G89" s="12" t="n"/>
    </row>
    <row r="90">
      <c r="A90" s="2" t="n"/>
      <c r="B90" s="12" t="n"/>
      <c r="C90" s="12" t="n"/>
      <c r="D90" s="12" t="n"/>
      <c r="E90" s="12" t="n"/>
      <c r="F90" s="10" t="n"/>
      <c r="G90" s="12" t="n"/>
    </row>
    <row r="91">
      <c r="A91" s="2" t="n"/>
      <c r="B91" s="12" t="n"/>
      <c r="C91" s="12" t="n"/>
      <c r="D91" s="12" t="n"/>
      <c r="E91" s="12" t="n"/>
      <c r="F91" s="10" t="n"/>
      <c r="G91" s="12" t="n"/>
    </row>
    <row r="92">
      <c r="A92" s="2" t="n"/>
      <c r="B92" s="12" t="n"/>
      <c r="C92" s="12" t="n"/>
      <c r="D92" s="12" t="n"/>
      <c r="E92" s="12" t="n"/>
      <c r="F92" s="10" t="n"/>
      <c r="G92" s="12" t="n"/>
    </row>
    <row r="93">
      <c r="A93" s="2" t="n"/>
      <c r="B93" s="12" t="n"/>
      <c r="C93" s="12" t="n"/>
      <c r="D93" s="12" t="n"/>
      <c r="E93" s="12" t="n"/>
      <c r="F93" s="10" t="n"/>
      <c r="G93" s="12" t="n"/>
    </row>
    <row r="94">
      <c r="A94" s="2" t="n"/>
      <c r="B94" s="12" t="n"/>
      <c r="C94" s="12" t="n"/>
      <c r="D94" s="12" t="n"/>
      <c r="E94" s="12" t="n"/>
      <c r="F94" s="10" t="n"/>
      <c r="G94" s="12" t="n"/>
    </row>
    <row r="95">
      <c r="A95" s="2" t="n"/>
      <c r="B95" s="12" t="n"/>
      <c r="C95" s="12" t="n"/>
      <c r="D95" s="12" t="n"/>
      <c r="E95" s="12" t="n"/>
      <c r="F95" s="10" t="n"/>
      <c r="G95" s="12" t="n"/>
    </row>
    <row r="96">
      <c r="A96" s="2" t="n"/>
      <c r="B96" s="12" t="n"/>
      <c r="C96" s="12" t="n"/>
      <c r="D96" s="12" t="n"/>
      <c r="E96" s="12" t="n"/>
      <c r="F96" s="10" t="n"/>
      <c r="G96" s="12" t="n"/>
    </row>
    <row r="97">
      <c r="A97" s="2" t="n"/>
      <c r="B97" s="12" t="n"/>
      <c r="C97" s="12" t="n"/>
      <c r="D97" s="12" t="n"/>
      <c r="E97" s="12" t="n"/>
      <c r="F97" s="10" t="n"/>
      <c r="G97" s="12" t="n"/>
    </row>
    <row r="98">
      <c r="A98" s="2" t="n"/>
      <c r="B98" s="12" t="n"/>
      <c r="C98" s="12" t="n"/>
      <c r="D98" s="12" t="n"/>
      <c r="E98" s="12" t="n"/>
      <c r="F98" s="10" t="n"/>
      <c r="G98" s="12" t="n"/>
    </row>
    <row r="99">
      <c r="A99" s="2" t="n"/>
      <c r="B99" s="12" t="n"/>
      <c r="C99" s="12" t="n"/>
      <c r="D99" s="12" t="n"/>
      <c r="E99" s="12" t="n"/>
      <c r="F99" s="10" t="n"/>
      <c r="G99" s="12" t="n"/>
    </row>
    <row r="100">
      <c r="A100" s="2" t="n"/>
      <c r="B100" s="12" t="n"/>
      <c r="C100" s="12" t="n"/>
      <c r="D100" s="12" t="n"/>
      <c r="E100" s="12" t="n"/>
      <c r="F100" s="10" t="n"/>
      <c r="G100" s="12" t="n"/>
    </row>
    <row r="101">
      <c r="A101" s="2" t="n"/>
      <c r="B101" s="12" t="n"/>
      <c r="C101" s="12" t="n"/>
      <c r="D101" s="12" t="n"/>
      <c r="E101" s="12" t="n"/>
      <c r="F101" s="10" t="n"/>
      <c r="G101" s="12" t="n"/>
    </row>
    <row r="102">
      <c r="A102" s="2" t="n"/>
      <c r="B102" s="12" t="n"/>
      <c r="C102" s="12" t="n"/>
      <c r="D102" s="12" t="n"/>
      <c r="E102" s="12" t="n"/>
      <c r="F102" s="10" t="n"/>
      <c r="G102" s="12" t="n"/>
    </row>
    <row r="103">
      <c r="A103" s="2" t="n"/>
      <c r="B103" s="12" t="n"/>
      <c r="C103" s="12" t="n"/>
      <c r="D103" s="12" t="n"/>
      <c r="E103" s="12" t="n"/>
      <c r="F103" s="10" t="n"/>
      <c r="G103" s="12" t="n"/>
    </row>
    <row r="104">
      <c r="A104" s="2" t="n"/>
      <c r="B104" s="12" t="n"/>
      <c r="C104" s="12" t="n"/>
      <c r="D104" s="12" t="n"/>
      <c r="E104" s="12" t="n"/>
      <c r="F104" s="10" t="n"/>
      <c r="G104" s="12" t="n"/>
    </row>
    <row r="105">
      <c r="A105" s="2" t="n"/>
      <c r="B105" s="12" t="n"/>
      <c r="C105" s="12" t="n"/>
      <c r="D105" s="12" t="n"/>
      <c r="E105" s="12" t="n"/>
      <c r="F105" s="10" t="n"/>
      <c r="G105" s="12" t="n"/>
    </row>
    <row r="106">
      <c r="A106" s="2" t="n"/>
      <c r="B106" s="12" t="n"/>
      <c r="C106" s="12" t="n"/>
      <c r="D106" s="12" t="n"/>
      <c r="E106" s="12" t="n"/>
      <c r="F106" s="10" t="n"/>
      <c r="G106" s="12" t="n"/>
    </row>
    <row r="107">
      <c r="A107" s="2" t="n"/>
      <c r="B107" s="12" t="n"/>
      <c r="C107" s="12" t="n"/>
      <c r="D107" s="12" t="n"/>
      <c r="E107" s="12" t="n"/>
      <c r="F107" s="10" t="n"/>
      <c r="G107" s="12" t="n"/>
    </row>
    <row r="108">
      <c r="A108" s="2" t="n"/>
      <c r="B108" s="12" t="n"/>
      <c r="C108" s="12" t="n"/>
      <c r="D108" s="12" t="n"/>
      <c r="E108" s="12" t="n"/>
      <c r="F108" s="10" t="n"/>
      <c r="G108" s="12" t="n"/>
    </row>
    <row r="109">
      <c r="A109" s="2" t="n"/>
      <c r="B109" s="12" t="n"/>
      <c r="C109" s="12" t="n"/>
      <c r="D109" s="12" t="n"/>
      <c r="E109" s="12" t="n"/>
      <c r="F109" s="10" t="n"/>
      <c r="G109" s="12" t="n"/>
    </row>
    <row r="110">
      <c r="A110" s="2" t="n"/>
      <c r="B110" s="12" t="n"/>
      <c r="C110" s="12" t="n"/>
      <c r="D110" s="12" t="n"/>
      <c r="E110" s="12" t="n"/>
      <c r="F110" s="10" t="n"/>
      <c r="G110" s="12" t="n"/>
    </row>
    <row r="111">
      <c r="A111" s="2" t="n"/>
      <c r="B111" s="12" t="n"/>
      <c r="C111" s="12" t="n"/>
      <c r="D111" s="12" t="n"/>
      <c r="E111" s="12" t="n"/>
      <c r="F111" s="10" t="n"/>
      <c r="G111" s="12" t="n"/>
    </row>
    <row r="112">
      <c r="A112" s="2" t="n"/>
      <c r="B112" s="12" t="n"/>
      <c r="C112" s="12" t="n"/>
      <c r="D112" s="12" t="n"/>
      <c r="E112" s="12" t="n"/>
      <c r="F112" s="10" t="n"/>
      <c r="G112" s="12" t="n"/>
    </row>
    <row r="113">
      <c r="A113" s="2" t="n"/>
      <c r="B113" s="12" t="n"/>
      <c r="C113" s="12" t="n"/>
      <c r="D113" s="12" t="n"/>
      <c r="E113" s="12" t="n"/>
      <c r="F113" s="10" t="n"/>
      <c r="G113" s="12" t="n"/>
    </row>
    <row r="114">
      <c r="A114" s="2" t="n"/>
      <c r="B114" s="12" t="n"/>
      <c r="C114" s="12" t="n"/>
      <c r="D114" s="12" t="n"/>
      <c r="E114" s="12" t="n"/>
      <c r="F114" s="10" t="n"/>
      <c r="G114" s="12" t="n"/>
    </row>
    <row r="115">
      <c r="A115" s="2" t="n"/>
      <c r="B115" s="12" t="n"/>
      <c r="C115" s="12" t="n"/>
      <c r="D115" s="12" t="n"/>
      <c r="E115" s="12" t="n"/>
      <c r="F115" s="10" t="n"/>
      <c r="G115" s="12" t="n"/>
    </row>
    <row r="116">
      <c r="A116" s="2" t="n"/>
      <c r="B116" s="12" t="n"/>
      <c r="C116" s="12" t="n"/>
      <c r="D116" s="12" t="n"/>
      <c r="E116" s="12" t="n"/>
      <c r="F116" s="10" t="n"/>
      <c r="G116" s="12" t="n"/>
    </row>
    <row r="117">
      <c r="A117" s="2" t="n"/>
      <c r="B117" s="12" t="n"/>
      <c r="C117" s="12" t="n"/>
      <c r="D117" s="12" t="n"/>
      <c r="E117" s="12" t="n"/>
      <c r="F117" s="10" t="n"/>
      <c r="G117" s="12" t="n"/>
    </row>
    <row r="118">
      <c r="A118" s="2" t="n"/>
      <c r="B118" s="12" t="n"/>
      <c r="C118" s="12" t="n"/>
      <c r="D118" s="12" t="n"/>
      <c r="E118" s="12" t="n"/>
      <c r="F118" s="10" t="n"/>
      <c r="G118" s="12" t="n"/>
    </row>
    <row r="119">
      <c r="A119" s="2" t="n"/>
      <c r="B119" s="12" t="n"/>
      <c r="C119" s="12" t="n"/>
      <c r="D119" s="12" t="n"/>
      <c r="E119" s="12" t="n"/>
      <c r="F119" s="10" t="n"/>
      <c r="G119" s="12" t="n"/>
    </row>
    <row r="120">
      <c r="A120" s="2" t="n"/>
      <c r="B120" s="12" t="n"/>
      <c r="C120" s="12" t="n"/>
      <c r="D120" s="12" t="n"/>
      <c r="E120" s="12" t="n"/>
      <c r="F120" s="10" t="n"/>
      <c r="G120" s="12" t="n"/>
    </row>
    <row r="121">
      <c r="A121" s="2" t="n"/>
      <c r="B121" s="12" t="n"/>
      <c r="C121" s="12" t="n"/>
      <c r="D121" s="12" t="n"/>
      <c r="E121" s="12" t="n"/>
      <c r="F121" s="10" t="n"/>
      <c r="G121" s="12" t="n"/>
    </row>
    <row r="122">
      <c r="A122" s="2" t="n"/>
      <c r="B122" s="12" t="n"/>
      <c r="C122" s="12" t="n"/>
      <c r="D122" s="12" t="n"/>
      <c r="E122" s="12" t="n"/>
      <c r="F122" s="10" t="n"/>
      <c r="G122" s="12" t="n"/>
    </row>
    <row r="123">
      <c r="A123" s="2" t="n"/>
      <c r="B123" s="12" t="n"/>
      <c r="C123" s="12" t="n"/>
      <c r="D123" s="12" t="n"/>
      <c r="E123" s="12" t="n"/>
      <c r="F123" s="10" t="n"/>
      <c r="G123" s="12" t="n"/>
    </row>
    <row r="124">
      <c r="A124" s="2" t="n"/>
      <c r="B124" s="12" t="n"/>
      <c r="C124" s="12" t="n"/>
      <c r="D124" s="12" t="n"/>
      <c r="E124" s="12" t="n"/>
      <c r="F124" s="10" t="n"/>
      <c r="G124" s="12" t="n"/>
    </row>
    <row r="125">
      <c r="A125" s="2" t="n"/>
      <c r="B125" s="12" t="n"/>
      <c r="C125" s="12" t="n"/>
      <c r="D125" s="12" t="n"/>
      <c r="E125" s="12" t="n"/>
      <c r="F125" s="10" t="n"/>
      <c r="G125" s="12" t="n"/>
    </row>
    <row r="126">
      <c r="A126" s="2" t="n"/>
      <c r="B126" s="12" t="n"/>
      <c r="C126" s="12" t="n"/>
      <c r="D126" s="12" t="n"/>
      <c r="E126" s="12" t="n"/>
      <c r="F126" s="10" t="n"/>
      <c r="G126" s="12" t="n"/>
    </row>
    <row r="127">
      <c r="A127" s="2" t="n"/>
      <c r="B127" s="12" t="n"/>
      <c r="C127" s="12" t="n"/>
      <c r="D127" s="12" t="n"/>
      <c r="E127" s="12" t="n"/>
      <c r="F127" s="10" t="n"/>
      <c r="G127" s="12" t="n"/>
    </row>
    <row r="128">
      <c r="A128" s="2" t="n"/>
      <c r="B128" s="12" t="n"/>
      <c r="C128" s="12" t="n"/>
      <c r="D128" s="12" t="n"/>
      <c r="E128" s="12" t="n"/>
      <c r="F128" s="10" t="n"/>
      <c r="G128" s="12" t="n"/>
    </row>
    <row r="129">
      <c r="A129" s="2" t="n"/>
      <c r="B129" s="12" t="n"/>
      <c r="C129" s="12" t="n"/>
      <c r="D129" s="12" t="n"/>
      <c r="E129" s="12" t="n"/>
      <c r="F129" s="10" t="n"/>
      <c r="G129" s="12" t="n"/>
    </row>
    <row r="130">
      <c r="A130" s="2" t="n"/>
      <c r="B130" s="12" t="n"/>
      <c r="C130" s="12" t="n"/>
      <c r="D130" s="12" t="n"/>
      <c r="E130" s="12" t="n"/>
      <c r="F130" s="10" t="n"/>
      <c r="G130" s="12" t="n"/>
    </row>
    <row r="131">
      <c r="A131" s="2" t="n"/>
      <c r="B131" s="12" t="n"/>
      <c r="C131" s="12" t="n"/>
      <c r="D131" s="12" t="n"/>
      <c r="E131" s="12" t="n"/>
      <c r="F131" s="10" t="n"/>
      <c r="G131" s="12" t="n"/>
    </row>
    <row r="132">
      <c r="A132" s="2" t="n"/>
      <c r="B132" s="12" t="n"/>
      <c r="C132" s="12" t="n"/>
      <c r="D132" s="12" t="n"/>
      <c r="E132" s="12" t="n"/>
      <c r="F132" s="10" t="n"/>
      <c r="G132" s="12" t="n"/>
    </row>
    <row r="133">
      <c r="A133" s="2" t="n"/>
      <c r="B133" s="12" t="n"/>
      <c r="C133" s="12" t="n"/>
      <c r="D133" s="12" t="n"/>
      <c r="E133" s="12" t="n"/>
      <c r="F133" s="10" t="n"/>
      <c r="G133" s="12" t="n"/>
    </row>
    <row r="134">
      <c r="A134" s="2" t="n"/>
      <c r="B134" s="12" t="n"/>
      <c r="C134" s="12" t="n"/>
      <c r="D134" s="12" t="n"/>
      <c r="E134" s="12" t="n"/>
      <c r="F134" s="10" t="n"/>
      <c r="G134" s="12" t="n"/>
    </row>
    <row r="135">
      <c r="A135" s="2" t="n"/>
      <c r="B135" s="12" t="n"/>
      <c r="C135" s="12" t="n"/>
      <c r="D135" s="12" t="n"/>
      <c r="E135" s="12" t="n"/>
      <c r="F135" s="10" t="n"/>
      <c r="G135" s="12" t="n"/>
    </row>
    <row r="136">
      <c r="A136" s="2" t="n"/>
      <c r="B136" s="12" t="n"/>
      <c r="C136" s="12" t="n"/>
      <c r="D136" s="12" t="n"/>
      <c r="E136" s="12" t="n"/>
      <c r="F136" s="10" t="n"/>
      <c r="G136" s="12" t="n"/>
    </row>
    <row r="137">
      <c r="A137" s="2" t="n"/>
      <c r="B137" s="12" t="n"/>
      <c r="C137" s="12" t="n"/>
      <c r="D137" s="12" t="n"/>
      <c r="E137" s="12" t="n"/>
      <c r="F137" s="10" t="n"/>
      <c r="G137" s="12" t="n"/>
    </row>
    <row r="138">
      <c r="A138" s="2" t="n"/>
      <c r="B138" s="12" t="n"/>
      <c r="C138" s="12" t="n"/>
      <c r="D138" s="12" t="n"/>
      <c r="E138" s="12" t="n"/>
      <c r="F138" s="10" t="n"/>
      <c r="G138" s="12" t="n"/>
    </row>
    <row r="139">
      <c r="A139" s="2" t="n"/>
      <c r="B139" s="12" t="n"/>
      <c r="C139" s="12" t="n"/>
      <c r="D139" s="12" t="n"/>
      <c r="E139" s="12" t="n"/>
      <c r="F139" s="10" t="n"/>
      <c r="G139" s="12" t="n"/>
    </row>
    <row r="140">
      <c r="A140" s="2" t="n"/>
      <c r="B140" s="12" t="n"/>
      <c r="C140" s="12" t="n"/>
      <c r="D140" s="12" t="n"/>
      <c r="E140" s="12" t="n"/>
      <c r="F140" s="10" t="n"/>
      <c r="G140" s="12" t="n"/>
    </row>
    <row r="141">
      <c r="A141" s="2" t="n"/>
      <c r="B141" s="12" t="n"/>
      <c r="C141" s="12" t="n"/>
      <c r="D141" s="12" t="n"/>
      <c r="E141" s="12" t="n"/>
      <c r="F141" s="10" t="n"/>
      <c r="G141" s="12" t="n"/>
    </row>
    <row r="142">
      <c r="A142" s="2" t="n"/>
      <c r="B142" s="12" t="n"/>
      <c r="C142" s="12" t="n"/>
      <c r="D142" s="12" t="n"/>
      <c r="E142" s="12" t="n"/>
      <c r="F142" s="10" t="n"/>
      <c r="G142" s="12" t="n"/>
    </row>
    <row r="143">
      <c r="A143" s="2" t="n"/>
      <c r="B143" s="12" t="n"/>
      <c r="C143" s="12" t="n"/>
      <c r="D143" s="12" t="n"/>
      <c r="E143" s="12" t="n"/>
      <c r="F143" s="10" t="n"/>
      <c r="G143" s="12" t="n"/>
    </row>
    <row r="144">
      <c r="A144" s="2" t="n"/>
      <c r="B144" s="12" t="n"/>
      <c r="C144" s="12" t="n"/>
      <c r="D144" s="12" t="n"/>
      <c r="E144" s="12" t="n"/>
      <c r="F144" s="10" t="n"/>
      <c r="G144" s="12" t="n"/>
    </row>
    <row r="145">
      <c r="A145" s="2" t="n"/>
      <c r="B145" s="12" t="n"/>
      <c r="C145" s="12" t="n"/>
      <c r="D145" s="12" t="n"/>
      <c r="E145" s="12" t="n"/>
      <c r="F145" s="10" t="n"/>
      <c r="G145" s="12" t="n"/>
    </row>
    <row r="146">
      <c r="A146" s="2" t="n"/>
      <c r="B146" s="12" t="n"/>
      <c r="C146" s="12" t="n"/>
      <c r="D146" s="12" t="n"/>
      <c r="E146" s="12" t="n"/>
      <c r="F146" s="10" t="n"/>
      <c r="G146" s="12" t="n"/>
    </row>
    <row r="147">
      <c r="A147" s="2" t="n"/>
      <c r="B147" s="12" t="n"/>
      <c r="C147" s="12" t="n"/>
      <c r="D147" s="12" t="n"/>
      <c r="E147" s="12" t="n"/>
      <c r="F147" s="10" t="n"/>
      <c r="G147" s="12" t="n"/>
    </row>
    <row r="148">
      <c r="A148" s="2" t="n"/>
      <c r="B148" s="12" t="n"/>
      <c r="C148" s="12" t="n"/>
      <c r="D148" s="12" t="n"/>
      <c r="E148" s="12" t="n"/>
      <c r="F148" s="10" t="n"/>
      <c r="G148" s="12" t="n"/>
    </row>
    <row r="149">
      <c r="A149" s="2" t="n"/>
      <c r="B149" s="12" t="n"/>
      <c r="C149" s="12" t="n"/>
      <c r="D149" s="12" t="n"/>
      <c r="E149" s="12" t="n"/>
      <c r="F149" s="10" t="n"/>
      <c r="G149" s="12" t="n"/>
    </row>
    <row r="150">
      <c r="A150" s="2" t="n"/>
      <c r="B150" s="12" t="n"/>
      <c r="C150" s="12" t="n"/>
      <c r="D150" s="12" t="n"/>
      <c r="E150" s="12" t="n"/>
      <c r="F150" s="10" t="n"/>
      <c r="G150" s="12" t="n"/>
    </row>
    <row r="151">
      <c r="A151" s="2" t="n"/>
      <c r="B151" s="12" t="n"/>
      <c r="C151" s="12" t="n"/>
      <c r="D151" s="12" t="n"/>
      <c r="E151" s="12" t="n"/>
      <c r="F151" s="10" t="n"/>
      <c r="G151" s="12" t="n"/>
    </row>
    <row r="152">
      <c r="A152" s="2" t="n"/>
      <c r="B152" s="12" t="n"/>
      <c r="C152" s="12" t="n"/>
      <c r="D152" s="12" t="n"/>
      <c r="E152" s="12" t="n"/>
      <c r="F152" s="10" t="n"/>
      <c r="G152" s="12" t="n"/>
    </row>
    <row r="153">
      <c r="A153" s="2" t="n"/>
      <c r="B153" s="12" t="n"/>
      <c r="C153" s="12" t="n"/>
      <c r="D153" s="12" t="n"/>
      <c r="E153" s="12" t="n"/>
      <c r="F153" s="10" t="n"/>
      <c r="G153" s="12" t="n"/>
    </row>
    <row r="154">
      <c r="A154" s="2" t="n"/>
      <c r="B154" s="12" t="n"/>
      <c r="C154" s="12" t="n"/>
      <c r="D154" s="12" t="n"/>
      <c r="E154" s="12" t="n"/>
      <c r="F154" s="10" t="n"/>
      <c r="G154" s="12" t="n"/>
    </row>
    <row r="155">
      <c r="A155" s="2" t="n"/>
      <c r="B155" s="12" t="n"/>
      <c r="C155" s="12" t="n"/>
      <c r="D155" s="12" t="n"/>
      <c r="E155" s="12" t="n"/>
      <c r="F155" s="10" t="n"/>
      <c r="G155" s="12" t="n"/>
    </row>
    <row r="156">
      <c r="A156" s="2" t="n"/>
      <c r="B156" s="12" t="n"/>
      <c r="C156" s="12" t="n"/>
      <c r="D156" s="12" t="n"/>
      <c r="E156" s="12" t="n"/>
      <c r="F156" s="10" t="n"/>
      <c r="G156" s="12" t="n"/>
    </row>
    <row r="157">
      <c r="A157" s="2" t="n"/>
      <c r="B157" s="12" t="n"/>
      <c r="C157" s="12" t="n"/>
      <c r="D157" s="12" t="n"/>
      <c r="E157" s="12" t="n"/>
      <c r="F157" s="10" t="n"/>
      <c r="G157" s="12" t="n"/>
    </row>
    <row r="158">
      <c r="A158" s="2" t="n"/>
      <c r="B158" s="12" t="n"/>
      <c r="C158" s="12" t="n"/>
      <c r="D158" s="12" t="n"/>
      <c r="E158" s="12" t="n"/>
      <c r="F158" s="10" t="n"/>
      <c r="G158" s="12" t="n"/>
    </row>
    <row r="159">
      <c r="A159" s="2" t="n"/>
      <c r="B159" s="12" t="n"/>
      <c r="C159" s="12" t="n"/>
      <c r="D159" s="12" t="n"/>
      <c r="E159" s="12" t="n"/>
      <c r="F159" s="10" t="n"/>
      <c r="G159" s="12" t="n"/>
    </row>
    <row r="160">
      <c r="A160" s="2" t="n"/>
      <c r="B160" s="12" t="n"/>
      <c r="C160" s="12" t="n"/>
      <c r="D160" s="12" t="n"/>
      <c r="E160" s="12" t="n"/>
      <c r="F160" s="10" t="n"/>
      <c r="G160" s="12" t="n"/>
    </row>
    <row r="161">
      <c r="A161" s="2" t="n"/>
      <c r="B161" s="12" t="n"/>
      <c r="C161" s="12" t="n"/>
      <c r="D161" s="12" t="n"/>
      <c r="E161" s="12" t="n"/>
      <c r="F161" s="10" t="n"/>
      <c r="G161" s="12" t="n"/>
    </row>
    <row r="162">
      <c r="A162" s="2" t="n"/>
      <c r="B162" s="12" t="n"/>
      <c r="C162" s="12" t="n"/>
      <c r="D162" s="12" t="n"/>
      <c r="E162" s="12" t="n"/>
      <c r="F162" s="10" t="n"/>
      <c r="G162" s="12" t="n"/>
    </row>
    <row r="163">
      <c r="A163" s="2" t="n"/>
      <c r="B163" s="12" t="n"/>
      <c r="C163" s="12" t="n"/>
      <c r="D163" s="12" t="n"/>
      <c r="E163" s="12" t="n"/>
      <c r="F163" s="10" t="n"/>
      <c r="G163" s="12" t="n"/>
    </row>
    <row r="164">
      <c r="A164" s="2" t="n"/>
      <c r="B164" s="12" t="n"/>
      <c r="C164" s="12" t="n"/>
      <c r="D164" s="12" t="n"/>
      <c r="E164" s="12" t="n"/>
      <c r="F164" s="10" t="n"/>
      <c r="G164" s="12" t="n"/>
    </row>
    <row r="165">
      <c r="A165" s="2" t="n"/>
      <c r="B165" s="12" t="n"/>
      <c r="C165" s="12" t="n"/>
      <c r="D165" s="12" t="n"/>
      <c r="E165" s="12" t="n"/>
      <c r="F165" s="10" t="n"/>
      <c r="G165" s="12" t="n"/>
    </row>
    <row r="166">
      <c r="A166" s="2" t="n"/>
      <c r="B166" s="12" t="n"/>
      <c r="C166" s="12" t="n"/>
      <c r="D166" s="12" t="n"/>
      <c r="E166" s="12" t="n"/>
      <c r="F166" s="10" t="n"/>
      <c r="G166" s="12" t="n"/>
    </row>
    <row r="167">
      <c r="A167" s="2" t="n"/>
      <c r="B167" s="12" t="n"/>
      <c r="C167" s="12" t="n"/>
      <c r="D167" s="12" t="n"/>
      <c r="E167" s="12" t="n"/>
      <c r="F167" s="10" t="n"/>
      <c r="G167" s="12" t="n"/>
    </row>
    <row r="168">
      <c r="A168" s="2" t="n"/>
      <c r="B168" s="12" t="n"/>
      <c r="C168" s="12" t="n"/>
      <c r="D168" s="12" t="n"/>
      <c r="E168" s="12" t="n"/>
      <c r="F168" s="10" t="n"/>
      <c r="G168" s="12" t="n"/>
    </row>
    <row r="169">
      <c r="A169" s="2" t="n"/>
      <c r="B169" s="12" t="n"/>
      <c r="C169" s="12" t="n"/>
      <c r="D169" s="12" t="n"/>
      <c r="E169" s="12" t="n"/>
      <c r="F169" s="10" t="n"/>
      <c r="G169" s="12" t="n"/>
    </row>
    <row r="170">
      <c r="A170" s="2" t="n"/>
      <c r="B170" s="12" t="n"/>
      <c r="C170" s="12" t="n"/>
      <c r="D170" s="12" t="n"/>
      <c r="E170" s="12" t="n"/>
      <c r="F170" s="10" t="n"/>
      <c r="G170" s="12" t="n"/>
    </row>
    <row r="171">
      <c r="A171" s="2" t="n"/>
      <c r="B171" s="12" t="n"/>
      <c r="C171" s="12" t="n"/>
      <c r="D171" s="12" t="n"/>
      <c r="E171" s="12" t="n"/>
      <c r="F171" s="10" t="n"/>
      <c r="G171" s="12" t="n"/>
    </row>
    <row r="172">
      <c r="A172" s="2" t="n"/>
      <c r="B172" s="12" t="n"/>
      <c r="C172" s="12" t="n"/>
      <c r="D172" s="12" t="n"/>
      <c r="E172" s="12" t="n"/>
      <c r="F172" s="10" t="n"/>
      <c r="G172" s="12" t="n"/>
    </row>
    <row r="173">
      <c r="A173" s="2" t="n"/>
      <c r="B173" s="12" t="n"/>
      <c r="C173" s="12" t="n"/>
      <c r="D173" s="12" t="n"/>
      <c r="E173" s="12" t="n"/>
      <c r="F173" s="10" t="n"/>
      <c r="G173" s="12" t="n"/>
    </row>
    <row r="174">
      <c r="A174" s="2" t="n"/>
      <c r="B174" s="12" t="n"/>
      <c r="C174" s="12" t="n"/>
      <c r="D174" s="12" t="n"/>
      <c r="E174" s="12" t="n"/>
      <c r="F174" s="10" t="n"/>
      <c r="G174" s="12" t="n"/>
    </row>
    <row r="175">
      <c r="A175" s="2" t="n"/>
      <c r="B175" s="12" t="n"/>
      <c r="C175" s="12" t="n"/>
      <c r="D175" s="12" t="n"/>
      <c r="E175" s="12" t="n"/>
      <c r="F175" s="10" t="n"/>
      <c r="G175" s="12" t="n"/>
    </row>
    <row r="176">
      <c r="A176" s="2" t="n"/>
      <c r="B176" s="12" t="n"/>
      <c r="C176" s="12" t="n"/>
      <c r="D176" s="12" t="n"/>
      <c r="E176" s="12" t="n"/>
      <c r="F176" s="10" t="n"/>
      <c r="G176" s="12" t="n"/>
    </row>
    <row r="177">
      <c r="A177" s="2" t="n"/>
      <c r="B177" s="12" t="n"/>
      <c r="C177" s="12" t="n"/>
      <c r="D177" s="12" t="n"/>
      <c r="E177" s="12" t="n"/>
      <c r="F177" s="10" t="n"/>
      <c r="G177" s="12" t="n"/>
    </row>
    <row r="178">
      <c r="A178" s="2" t="n"/>
      <c r="B178" s="12" t="n"/>
      <c r="C178" s="12" t="n"/>
      <c r="D178" s="12" t="n"/>
      <c r="E178" s="12" t="n"/>
      <c r="F178" s="10" t="n"/>
      <c r="G178" s="12" t="n"/>
    </row>
    <row r="179">
      <c r="A179" s="2" t="n"/>
      <c r="B179" s="12" t="n"/>
      <c r="C179" s="12" t="n"/>
      <c r="D179" s="12" t="n"/>
      <c r="E179" s="12" t="n"/>
      <c r="F179" s="10" t="n"/>
      <c r="G179" s="12" t="n"/>
    </row>
    <row r="180">
      <c r="A180" s="2" t="n"/>
      <c r="B180" s="12" t="n"/>
      <c r="C180" s="12" t="n"/>
      <c r="D180" s="12" t="n"/>
      <c r="E180" s="12" t="n"/>
      <c r="F180" s="10" t="n"/>
      <c r="G180" s="12" t="n"/>
    </row>
    <row r="181">
      <c r="A181" s="2" t="n"/>
      <c r="B181" s="12" t="n"/>
      <c r="C181" s="12" t="n"/>
      <c r="D181" s="12" t="n"/>
      <c r="E181" s="12" t="n"/>
      <c r="F181" s="10" t="n"/>
      <c r="G181" s="12" t="n"/>
    </row>
    <row r="182">
      <c r="A182" s="2" t="n"/>
      <c r="B182" s="12" t="n"/>
      <c r="C182" s="12" t="n"/>
      <c r="D182" s="12" t="n"/>
      <c r="E182" s="12" t="n"/>
      <c r="F182" s="10" t="n"/>
      <c r="G182" s="12" t="n"/>
    </row>
    <row r="183">
      <c r="A183" s="2" t="n"/>
      <c r="B183" s="12" t="n"/>
      <c r="C183" s="12" t="n"/>
      <c r="D183" s="12" t="n"/>
      <c r="E183" s="12" t="n"/>
      <c r="F183" s="10" t="n"/>
      <c r="G183" s="12" t="n"/>
    </row>
    <row r="184">
      <c r="A184" s="2" t="n"/>
      <c r="B184" s="12" t="n"/>
      <c r="C184" s="12" t="n"/>
      <c r="D184" s="12" t="n"/>
      <c r="E184" s="12" t="n"/>
      <c r="F184" s="10" t="n"/>
      <c r="G184" s="12" t="n"/>
    </row>
    <row r="185">
      <c r="A185" s="2" t="n"/>
      <c r="B185" s="12" t="n"/>
      <c r="C185" s="12" t="n"/>
      <c r="D185" s="12" t="n"/>
      <c r="E185" s="12" t="n"/>
      <c r="F185" s="10" t="n"/>
      <c r="G185" s="12" t="n"/>
    </row>
    <row r="186">
      <c r="A186" s="2" t="n"/>
      <c r="B186" s="12" t="n"/>
      <c r="C186" s="12" t="n"/>
      <c r="D186" s="12" t="n"/>
      <c r="E186" s="12" t="n"/>
      <c r="F186" s="10" t="n"/>
      <c r="G186" s="12" t="n"/>
    </row>
    <row r="187">
      <c r="A187" s="2" t="n"/>
      <c r="B187" s="12" t="n"/>
      <c r="C187" s="12" t="n"/>
      <c r="D187" s="12" t="n"/>
      <c r="E187" s="12" t="n"/>
      <c r="F187" s="10" t="n"/>
      <c r="G187" s="12" t="n"/>
    </row>
    <row r="188">
      <c r="A188" s="2" t="n"/>
      <c r="B188" s="12" t="n"/>
      <c r="C188" s="12" t="n"/>
      <c r="D188" s="12" t="n"/>
      <c r="E188" s="12" t="n"/>
      <c r="F188" s="10" t="n"/>
      <c r="G188" s="12" t="n"/>
    </row>
    <row r="189">
      <c r="A189" s="2" t="n"/>
      <c r="B189" s="12" t="n"/>
      <c r="C189" s="12" t="n"/>
      <c r="D189" s="12" t="n"/>
      <c r="E189" s="12" t="n"/>
      <c r="F189" s="10" t="n"/>
      <c r="G189" s="12" t="n"/>
    </row>
    <row r="190">
      <c r="A190" s="2" t="n"/>
      <c r="B190" s="12" t="n"/>
      <c r="C190" s="12" t="n"/>
      <c r="D190" s="12" t="n"/>
      <c r="E190" s="12" t="n"/>
      <c r="F190" s="10" t="n"/>
      <c r="G190" s="12" t="n"/>
    </row>
    <row r="191">
      <c r="A191" s="2" t="n"/>
      <c r="B191" s="12" t="n"/>
      <c r="C191" s="12" t="n"/>
      <c r="D191" s="12" t="n"/>
      <c r="E191" s="12" t="n"/>
      <c r="F191" s="10" t="n"/>
      <c r="G191" s="12" t="n"/>
    </row>
    <row r="192">
      <c r="A192" s="2" t="n"/>
      <c r="B192" s="12" t="n"/>
      <c r="C192" s="12" t="n"/>
      <c r="D192" s="12" t="n"/>
      <c r="E192" s="12" t="n"/>
      <c r="F192" s="10" t="n"/>
      <c r="G192" s="12" t="n"/>
    </row>
    <row r="193">
      <c r="A193" s="2" t="n"/>
      <c r="B193" s="12" t="n"/>
      <c r="C193" s="12" t="n"/>
      <c r="D193" s="12" t="n"/>
      <c r="E193" s="12" t="n"/>
      <c r="F193" s="10" t="n"/>
      <c r="G193" s="12" t="n"/>
    </row>
    <row r="194">
      <c r="A194" s="2" t="n"/>
      <c r="B194" s="12" t="n"/>
      <c r="C194" s="12" t="n"/>
      <c r="D194" s="12" t="n"/>
      <c r="E194" s="12" t="n"/>
      <c r="F194" s="10" t="n"/>
      <c r="G194" s="12" t="n"/>
    </row>
    <row r="195">
      <c r="A195" s="2" t="n"/>
      <c r="B195" s="12" t="n"/>
      <c r="C195" s="12" t="n"/>
      <c r="D195" s="12" t="n"/>
      <c r="E195" s="12" t="n"/>
      <c r="F195" s="10" t="n"/>
      <c r="G195" s="12" t="n"/>
    </row>
    <row r="196">
      <c r="A196" s="2" t="n"/>
      <c r="B196" s="12" t="n"/>
      <c r="C196" s="12" t="n"/>
      <c r="D196" s="12" t="n"/>
      <c r="E196" s="12" t="n"/>
      <c r="F196" s="10" t="n"/>
      <c r="G196" s="12" t="n"/>
    </row>
    <row r="197">
      <c r="A197" s="2" t="n"/>
      <c r="B197" s="12" t="n"/>
      <c r="C197" s="12" t="n"/>
      <c r="D197" s="12" t="n"/>
      <c r="E197" s="12" t="n"/>
      <c r="F197" s="10" t="n"/>
      <c r="G197" s="12" t="n"/>
    </row>
    <row r="198">
      <c r="A198" s="2" t="n"/>
      <c r="B198" s="12" t="n"/>
      <c r="C198" s="12" t="n"/>
      <c r="D198" s="12" t="n"/>
      <c r="E198" s="12" t="n"/>
      <c r="F198" s="10" t="n"/>
      <c r="G198" s="12" t="n"/>
    </row>
    <row r="199">
      <c r="A199" s="2" t="n"/>
      <c r="B199" s="12" t="n"/>
      <c r="C199" s="12" t="n"/>
      <c r="D199" s="12" t="n"/>
      <c r="E199" s="12" t="n"/>
      <c r="F199" s="10" t="n"/>
      <c r="G199" s="12" t="n"/>
    </row>
    <row r="200">
      <c r="A200" s="2" t="n"/>
      <c r="B200" s="12" t="n"/>
      <c r="C200" s="12" t="n"/>
      <c r="D200" s="12" t="n"/>
      <c r="E200" s="12" t="n"/>
      <c r="F200" s="10" t="n"/>
      <c r="G200" s="12" t="n"/>
    </row>
  </sheetData>
  <autoFilter ref="A3:G200"/>
  <mergeCells count="1">
    <mergeCell ref="A1:G1"/>
  </mergeCells>
  <dataValidations count="1">
    <dataValidation sqref="F4:F200" showDropDown="0" showInputMessage="0" showErrorMessage="0" allowBlank="0" type="list">
      <formula1>"Proposed,Approved,Rejected,Deprecated"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2026-09-15T07:15:44Z</dcterms:created>
  <dcterms:modified xmlns:dcterms="http://purl.org/dc/terms/" xmlns:xsi="http://www.w3.org/2001/XMLSchema-instance" xsi:type="dcterms:W3CDTF">2026-09-15T07:15:44Z</dcterms:modified>
</cp:coreProperties>
</file>